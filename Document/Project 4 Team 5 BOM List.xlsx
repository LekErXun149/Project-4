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 Xun\Documents\Project 4\Document\"/>
    </mc:Choice>
  </mc:AlternateContent>
  <xr:revisionPtr revIDLastSave="0" documentId="13_ncr:1_{7613AD12-623B-468A-9389-5262C0E7F71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55" i="1" l="1"/>
  <c r="E56" i="1"/>
  <c r="E60" i="1"/>
  <c r="E59" i="1"/>
  <c r="E58" i="1"/>
  <c r="E57" i="1"/>
  <c r="E54" i="1"/>
  <c r="E53" i="1"/>
  <c r="E52" i="1"/>
  <c r="E50" i="1"/>
  <c r="E49" i="1"/>
  <c r="F42" i="1"/>
  <c r="F41" i="1"/>
  <c r="F40" i="1"/>
  <c r="F39" i="1"/>
  <c r="F38" i="1"/>
  <c r="F37" i="1"/>
  <c r="F36" i="1"/>
  <c r="F35" i="1"/>
  <c r="F34" i="1"/>
  <c r="F33" i="1"/>
  <c r="F32" i="1"/>
  <c r="F31" i="1"/>
  <c r="E30" i="1"/>
  <c r="E29" i="1"/>
  <c r="E28" i="1"/>
  <c r="E27" i="1"/>
  <c r="E26" i="1"/>
  <c r="E25" i="1"/>
  <c r="E24" i="1"/>
  <c r="E23" i="1"/>
  <c r="E22" i="1"/>
  <c r="F21" i="1"/>
  <c r="E20" i="1"/>
  <c r="E19" i="1"/>
  <c r="F18" i="1"/>
  <c r="F63" i="1" l="1"/>
  <c r="C66" i="1" s="1"/>
  <c r="E63" i="1"/>
  <c r="C65" i="1" s="1"/>
  <c r="C67" i="1" s="1"/>
</calcChain>
</file>

<file path=xl/sharedStrings.xml><?xml version="1.0" encoding="utf-8"?>
<sst xmlns="http://schemas.openxmlformats.org/spreadsheetml/2006/main" count="440" uniqueCount="157">
  <si>
    <t>Module:</t>
  </si>
  <si>
    <t>RSE2109-Project 4 [2025/26 T2]</t>
  </si>
  <si>
    <t>Done By:</t>
  </si>
  <si>
    <t>Team 5</t>
  </si>
  <si>
    <t>Member:</t>
  </si>
  <si>
    <t>Alson Lim Chin Meng (2403433)</t>
  </si>
  <si>
    <t>Gerald Goh Xuan Chee (2400766)</t>
  </si>
  <si>
    <t>Lek Er Xun (2402042)</t>
  </si>
  <si>
    <t>Loh Sook Xian Rosalind  (2403415)</t>
  </si>
  <si>
    <t>Tung Ming Xuan (2400842)</t>
  </si>
  <si>
    <t>Legend</t>
  </si>
  <si>
    <t>Unconfirmed components are highlighted in red</t>
  </si>
  <si>
    <t>Loan components are highlighted in yellow</t>
  </si>
  <si>
    <t>BOM List</t>
  </si>
  <si>
    <t>Total Cost</t>
  </si>
  <si>
    <t>Component NO.</t>
  </si>
  <si>
    <t>Component Name</t>
  </si>
  <si>
    <t>Qty</t>
  </si>
  <si>
    <t>Unit Cost 
($)</t>
  </si>
  <si>
    <t>Direct Cost ($)</t>
  </si>
  <si>
    <t>Indirect Cost ($)</t>
  </si>
  <si>
    <t>Material</t>
  </si>
  <si>
    <t>Size (mm)</t>
  </si>
  <si>
    <t>Submitted By</t>
  </si>
  <si>
    <t>Confirmed By</t>
  </si>
  <si>
    <t>Remark</t>
  </si>
  <si>
    <t>Component Link (Price)</t>
  </si>
  <si>
    <t>MM01</t>
  </si>
  <si>
    <t>Bin Weighting Structure</t>
  </si>
  <si>
    <t>NIL</t>
  </si>
  <si>
    <t>MM01A01</t>
  </si>
  <si>
    <t>Focatek Depth Camera</t>
  </si>
  <si>
    <t>Lek Er Xun</t>
  </si>
  <si>
    <t>Rosalind Loh</t>
  </si>
  <si>
    <t>Loan from school</t>
  </si>
  <si>
    <t>MM01A02</t>
  </si>
  <si>
    <t>Raspberry Pi Camera Module 3</t>
  </si>
  <si>
    <t>MM01A03</t>
  </si>
  <si>
    <t>Load Cell Weight Sensor (5Kg)</t>
  </si>
  <si>
    <t>Tung Ming Xuan</t>
  </si>
  <si>
    <t>5Kg Load Cell Weight Sensor</t>
  </si>
  <si>
    <t>Physical Purchase</t>
  </si>
  <si>
    <t>MM01A04</t>
  </si>
  <si>
    <t>Raspberry Pi 4 Model B (8GB), 64GB SD Card, Casing with Accessory</t>
  </si>
  <si>
    <t>Raspberry Pi 4 Model B (8GB)</t>
  </si>
  <si>
    <t>MM01A05</t>
  </si>
  <si>
    <t>NAU7802 ADC Modules</t>
  </si>
  <si>
    <t>MM01A06</t>
  </si>
  <si>
    <t>HX711 ADC Modules</t>
  </si>
  <si>
    <t>MM01A07</t>
  </si>
  <si>
    <t>ORICO 4 Port USB3.0 HUB with Power</t>
  </si>
  <si>
    <t>MM01A08</t>
  </si>
  <si>
    <t>USB-A to Type-C Cable</t>
  </si>
  <si>
    <t>MM01A09</t>
  </si>
  <si>
    <t>MM01A10</t>
  </si>
  <si>
    <t>Solder Breadboard</t>
  </si>
  <si>
    <t>MM01B01</t>
  </si>
  <si>
    <t>Plywood Sheet</t>
  </si>
  <si>
    <t>Plywood</t>
  </si>
  <si>
    <t>360x410x18</t>
  </si>
  <si>
    <t>Require Sanding and drilling</t>
  </si>
  <si>
    <t>MM01B02</t>
  </si>
  <si>
    <t>Acrylic Sheet</t>
  </si>
  <si>
    <t>Acrylic</t>
  </si>
  <si>
    <t>310x410x10</t>
  </si>
  <si>
    <t>MM01C01</t>
  </si>
  <si>
    <t>Square Hollow Profile</t>
  </si>
  <si>
    <t>Aluminium</t>
  </si>
  <si>
    <t>20x20x1000</t>
  </si>
  <si>
    <t>Square Hallow Profile</t>
  </si>
  <si>
    <t>MM01C02</t>
  </si>
  <si>
    <t>T-Slot Profile</t>
  </si>
  <si>
    <t>20x20x200</t>
  </si>
  <si>
    <t>MM01C03</t>
  </si>
  <si>
    <t>L Bracket (Profile Mount)</t>
  </si>
  <si>
    <t>32x32x18</t>
  </si>
  <si>
    <t>Custom cut from angle bar (Scape Metal)</t>
  </si>
  <si>
    <t>MM01C04</t>
  </si>
  <si>
    <t>Hex Socket Screw (Profile Mount / Load Cell Mount)</t>
  </si>
  <si>
    <t>Stainless Steel</t>
  </si>
  <si>
    <t>M4x20</t>
  </si>
  <si>
    <t>Loan from school 
(3 for Profile Mount
 16 for Load Cell Mount)</t>
  </si>
  <si>
    <t>Hex Socket Screw (Profile Mount)</t>
  </si>
  <si>
    <t>MM01C05</t>
  </si>
  <si>
    <t>M4x30</t>
  </si>
  <si>
    <t>MM01C06</t>
  </si>
  <si>
    <t>Hex Socket Screw (Slider Mount / Depth Camera Mount)</t>
  </si>
  <si>
    <t>M3x10</t>
  </si>
  <si>
    <t>Loan from school
(4 for Slider Mount
 2 for Depth Camera Mount)</t>
  </si>
  <si>
    <t>Hex Socket Screw (Slider Mount)</t>
  </si>
  <si>
    <t>MM01C07</t>
  </si>
  <si>
    <t>M5x12</t>
  </si>
  <si>
    <t>MM01C08</t>
  </si>
  <si>
    <t>M5x16</t>
  </si>
  <si>
    <t>Loan from school
(2 for Slider Mount
 1 for Depth Camera Mount)</t>
  </si>
  <si>
    <t>MM01C09</t>
  </si>
  <si>
    <t>Hex Nuts (Camera Mount)</t>
  </si>
  <si>
    <t>M4x3</t>
  </si>
  <si>
    <t>MM01C10</t>
  </si>
  <si>
    <t>Hex Nuts (Slider Mount)</t>
  </si>
  <si>
    <t>M3x1.8</t>
  </si>
  <si>
    <t>MM01C11</t>
  </si>
  <si>
    <t>T-Nuts (Slider Mount / Depth Camera Mount)</t>
  </si>
  <si>
    <t>M5</t>
  </si>
  <si>
    <t>T-Nuts (Slider Mount)</t>
  </si>
  <si>
    <t>MM01C12</t>
  </si>
  <si>
    <t>Washer (Weight Sensor)</t>
  </si>
  <si>
    <t>M4x0.8</t>
  </si>
  <si>
    <t>MM01D01</t>
  </si>
  <si>
    <t>Profile Joint Mount</t>
  </si>
  <si>
    <t>PLA</t>
  </si>
  <si>
    <t>3D printed</t>
  </si>
  <si>
    <t>MM01D02</t>
  </si>
  <si>
    <t>Depth Camera Mount</t>
  </si>
  <si>
    <t>MM01D03</t>
  </si>
  <si>
    <t>Raspberry Pi Camera Module 3 Mount</t>
  </si>
  <si>
    <t>MM01D04</t>
  </si>
  <si>
    <t>HX711 ADC Modules Mount</t>
  </si>
  <si>
    <t>MM01D05</t>
  </si>
  <si>
    <t>Raspberry Pi 3 Camera Mount</t>
  </si>
  <si>
    <t>MM01D06</t>
  </si>
  <si>
    <t>USB Port Hub Mount</t>
  </si>
  <si>
    <t>MM01E01</t>
  </si>
  <si>
    <t>Heatsink with Fan</t>
  </si>
  <si>
    <t>40x40x10</t>
  </si>
  <si>
    <t>MM01E02</t>
  </si>
  <si>
    <t>Thermal Pad</t>
  </si>
  <si>
    <t>22x70x0.5</t>
  </si>
  <si>
    <t>MM02A01</t>
  </si>
  <si>
    <t>Bin (Small Eight Grid/375)</t>
  </si>
  <si>
    <t>Plastic</t>
  </si>
  <si>
    <t>276x380x85</t>
  </si>
  <si>
    <t>MM03A01</t>
  </si>
  <si>
    <t>Storage Box</t>
  </si>
  <si>
    <t>MM04A01</t>
  </si>
  <si>
    <t>Scale Weights Calibration Set (1000g)</t>
  </si>
  <si>
    <t>Chrome Plated Steel</t>
  </si>
  <si>
    <t>Set with 100g, 200g, 500g weight (Total: 1000g)</t>
  </si>
  <si>
    <t>Scale Weights Calibration Set</t>
  </si>
  <si>
    <t>15.6 Inch LCD Display</t>
  </si>
  <si>
    <t>Mini Keyboard</t>
  </si>
  <si>
    <t>Heat Shrink Kit</t>
  </si>
  <si>
    <t>Double-Sided Tape</t>
  </si>
  <si>
    <t>Cable Tie</t>
  </si>
  <si>
    <t>Product</t>
  </si>
  <si>
    <t>3D Print</t>
  </si>
  <si>
    <t>Total:</t>
  </si>
  <si>
    <t>Direct Cost (SGD$)</t>
  </si>
  <si>
    <t>Indirect Cost (SGD$)</t>
  </si>
  <si>
    <t>Total Cost (SGD$)</t>
  </si>
  <si>
    <t>7 Inch LCD Display</t>
  </si>
  <si>
    <t>MM10A01</t>
  </si>
  <si>
    <t>MM05A01</t>
  </si>
  <si>
    <t>MM06A01</t>
  </si>
  <si>
    <t>MM07A01</t>
  </si>
  <si>
    <t>MM08A01</t>
  </si>
  <si>
    <t>MM09A01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</si>
</sst>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u/>
      <sz val="10"/>
      <color theme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u/>
      <sz val="11"/>
      <color rgb="FF0000FF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center" vertical="top" wrapText="1"/>
    </xf>
    <xf numFmtId="2" fontId="2" fillId="3" borderId="1" xfId="0" applyNumberFormat="1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/>
    </xf>
    <xf numFmtId="2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2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ee.sg/18mm-plywood-40x50-cm-Multiplex-18-mm-50x40-cm-MC-Uty-Grade-A-Wood-Sheet-i.965491602.28063803444?extraParams=%7B%22display_model_id%22%3A226868333320%2C%22model_selection_logic%22%3A3%7D&amp;sp_atk=156a8526-f712-41b7-8f53-46e2b6defb71&amp;xptdk=156a8526-f712-41b7-8f53-46e2b6defb71" TargetMode="External"/><Relationship Id="rId13" Type="http://schemas.openxmlformats.org/officeDocument/2006/relationships/hyperlink" Target="https://sg.misumi-ec.com/vona2/detail/221000551286?HissuCode=CSH-SUS-M4-20" TargetMode="External"/><Relationship Id="rId18" Type="http://schemas.openxmlformats.org/officeDocument/2006/relationships/hyperlink" Target="https://sg.misumi-ec.com/vona2/detail/110311012769?HissuCode=E-GSLBNR4" TargetMode="External"/><Relationship Id="rId26" Type="http://schemas.openxmlformats.org/officeDocument/2006/relationships/hyperlink" Target="https://sg.cytron.io/c-raspberry-pi-display/p-15-6-inch-cap-touch-ips-1920-1080-hdmi-display" TargetMode="External"/><Relationship Id="rId3" Type="http://schemas.openxmlformats.org/officeDocument/2006/relationships/hyperlink" Target="https://shopee.sg/Raspberry-Pi-4-B-(-2GB-or-4GB-or-8GB-)-Starter-Kit-(-Power-supply-Premium-Case-Micro-SD-with-noobs-Heatsink)-i.28748863.3204168526" TargetMode="External"/><Relationship Id="rId21" Type="http://schemas.openxmlformats.org/officeDocument/2006/relationships/hyperlink" Target="https://sg.misumi-ec.com/vona2/detail/110310394559?HissuCode=C-WSSA8-4-3" TargetMode="External"/><Relationship Id="rId7" Type="http://schemas.openxmlformats.org/officeDocument/2006/relationships/hyperlink" Target="https://shopee.sg/Ugreen-3A-480Mbps-USB-A-to-Type-C-USB-C-Nylon-Braided-Fast-Charging-Cable-for-Phone-Fans-Tablets-i.64922680.7312481785" TargetMode="External"/><Relationship Id="rId12" Type="http://schemas.openxmlformats.org/officeDocument/2006/relationships/hyperlink" Target="https://sg.misumi-ec.com/vona2/detail/110300544720?HissuCode=LRA3-A32-B32-L20" TargetMode="External"/><Relationship Id="rId17" Type="http://schemas.openxmlformats.org/officeDocument/2006/relationships/hyperlink" Target="https://sg.misumi-ec.com/vona2/detail/110310861029?HissuCode=E-GSCB5-16" TargetMode="External"/><Relationship Id="rId25" Type="http://schemas.openxmlformats.org/officeDocument/2006/relationships/hyperlink" Target="https://shopee.sg/Scale-Weights-Calibration-Tool-Set-Calibrate-100g-200g-500g-with-Box-Calibration-Weights-i.208852974.27250024832?extraParams=%7B%22display_model_id%22%3A240831025662%2C%22model_selection_logic%22%3A3%7D&amp;sp_atk=cd05d0ef-f5f9-4534-abfb-65841164d0fe&amp;xptdk=cd05d0ef-f5f9-4534-abfb-65841164d0fe" TargetMode="External"/><Relationship Id="rId2" Type="http://schemas.openxmlformats.org/officeDocument/2006/relationships/hyperlink" Target="https://shopee.sg/Load-Cell-1kg-5kg-10kg-20kg-i.440521573.7989384220" TargetMode="External"/><Relationship Id="rId16" Type="http://schemas.openxmlformats.org/officeDocument/2006/relationships/hyperlink" Target="https://sg.misumi-ec.com/vona2/detail/110310861029?HissuCode=E-GSCB5-12" TargetMode="External"/><Relationship Id="rId20" Type="http://schemas.openxmlformats.org/officeDocument/2006/relationships/hyperlink" Target="https://sg.misumi-ec.com/vona2/detail/110302608140?HissuCode=SHNTU5-5" TargetMode="External"/><Relationship Id="rId1" Type="http://schemas.openxmlformats.org/officeDocument/2006/relationships/hyperlink" Target="https://makersupplies.sg/products/raspberry-pi-camera-3?srsltid=AfmBOoq6L1LMHRPuxPbUx2MdtGMW1yHyb0ITKP91cVyZznsPCemqSV7Z" TargetMode="External"/><Relationship Id="rId6" Type="http://schemas.openxmlformats.org/officeDocument/2006/relationships/hyperlink" Target="https://shopee.sg/Ugreen-3A-480Mbps-USB-A-to-Type-C-USB-C-Nylon-Braided-Fast-Charging-Cable-for-Phone-Fans-Tablets-i.64922680.7312481785" TargetMode="External"/><Relationship Id="rId11" Type="http://schemas.openxmlformats.org/officeDocument/2006/relationships/hyperlink" Target="https://sg.misumi-ec.com/vona2/detail/110310153359?HissuCode=LCF6-2020-200" TargetMode="External"/><Relationship Id="rId24" Type="http://schemas.openxmlformats.org/officeDocument/2006/relationships/hyperlink" Target="https://shopee.sg/product/1218344199/26581424138" TargetMode="External"/><Relationship Id="rId5" Type="http://schemas.openxmlformats.org/officeDocument/2006/relationships/hyperlink" Target="https://shopee.sg/product/29641888/8511248406" TargetMode="External"/><Relationship Id="rId15" Type="http://schemas.openxmlformats.org/officeDocument/2006/relationships/hyperlink" Target="https://sg.misumi-ec.com/vona2/detail/110310861029?HissuCode=E-GSCB3-10" TargetMode="External"/><Relationship Id="rId23" Type="http://schemas.openxmlformats.org/officeDocument/2006/relationships/hyperlink" Target="https://shopee.sg/TEUCER-M.2-SSD-Thermal-Pad-10.8W-mk-CPU-Graphics-Card-Heatsink-Motherboard-Heat-Dissipation-Silicone-Pad-70*22mm-For-SSD-i.1102234819.40153176751" TargetMode="External"/><Relationship Id="rId28" Type="http://schemas.openxmlformats.org/officeDocument/2006/relationships/hyperlink" Target="https://shopee.sg/7-Inch-Portable-Monitor-1024x600-IPS-LCD-HDMI-compatible-VGA-AV-Input-DC-Type-C-Power-Screen-for-PC-Laptop-Camera-TV-Box-DVD-i.1280323195.28263761978" TargetMode="External"/><Relationship Id="rId10" Type="http://schemas.openxmlformats.org/officeDocument/2006/relationships/hyperlink" Target="https://sg.misumi-ec.com/vona2/detail/110300467270?HissuCode=HFHQ2020-2-1000" TargetMode="External"/><Relationship Id="rId19" Type="http://schemas.openxmlformats.org/officeDocument/2006/relationships/hyperlink" Target="https://sg.misumi-ec.com/vona2/detail/110311012769?HissuCode=E-GSKNTR3" TargetMode="External"/><Relationship Id="rId4" Type="http://schemas.openxmlformats.org/officeDocument/2006/relationships/hyperlink" Target="https://shopee.sg/DIYMORE-NAU7802-High-Precision-Adc-Module-24-Bit-Adc-Data-Conversion-Pressure-Module-Compatible-With-STEMMA-QT-Qwiic-i.161535507.48705037684?extraParams=%7B%22display_model_id%22%3A385462272423%2C%22model_selection_logic%22%3A3%7D&amp;sp_atk=b7c07a7f-3716-4943-a04f-a58a1d61de81&amp;xptdk=b7c07a7f-3716-4943-a04f-a58a1d61de81" TargetMode="External"/><Relationship Id="rId9" Type="http://schemas.openxmlformats.org/officeDocument/2006/relationships/hyperlink" Target="https://shopee.sg/product/438933164/8353279058?d_id=003a3&amp;uls_trackid=54tbj4uo00pn&amp;utm_content=2bvSSCibSzyrfJwDuKe7gPnd7moM" TargetMode="External"/><Relationship Id="rId14" Type="http://schemas.openxmlformats.org/officeDocument/2006/relationships/hyperlink" Target="https://sg.misumi-ec.com/vona2/detail/110310861029?HissuCode=E-GSCB4-30" TargetMode="External"/><Relationship Id="rId22" Type="http://schemas.openxmlformats.org/officeDocument/2006/relationships/hyperlink" Target="https://shopee.sg/YSIDO-30mm-40mm-High-RPM-Fan-Powerful-Storms-Rapid-Heatsink-Metal-Cooling-With-Holder-for-1-8-1-10-1-12-ARRMA-Traxxas-HSP-RC-Car-i.500812033.26066864849" TargetMode="External"/><Relationship Id="rId27" Type="http://schemas.openxmlformats.org/officeDocument/2006/relationships/hyperlink" Target="https://shopee.sg/-SG-Local-Seller-Mini-Slim-Keyboard-Multimedia-USB-Wired-For-Notebook-Laptop-PC-Computer-i.124596143.157603424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6"/>
  <sheetViews>
    <sheetView tabSelected="1" zoomScale="110" zoomScaleNormal="110" workbookViewId="0">
      <selection activeCell="G68" sqref="G68"/>
    </sheetView>
  </sheetViews>
  <sheetFormatPr defaultColWidth="11.5546875" defaultRowHeight="15.75" customHeight="1" x14ac:dyDescent="0.25"/>
  <cols>
    <col min="1" max="1" width="11.5546875" style="4"/>
    <col min="2" max="2" width="20.77734375" style="4" customWidth="1"/>
    <col min="3" max="3" width="4.6640625" style="4" customWidth="1"/>
    <col min="4" max="6" width="11.77734375" style="4" customWidth="1"/>
    <col min="7" max="7" width="10.88671875" style="4" customWidth="1"/>
    <col min="8" max="8" width="14.6640625" style="4" customWidth="1"/>
    <col min="9" max="9" width="13.5546875" style="4" customWidth="1"/>
    <col min="10" max="10" width="15.33203125" style="4" customWidth="1"/>
    <col min="11" max="11" width="24.44140625" style="4" customWidth="1"/>
    <col min="12" max="12" width="29.5546875" style="4" customWidth="1"/>
    <col min="13" max="1022" width="12.6640625" style="4" customWidth="1"/>
    <col min="1023" max="16384" width="11.5546875" style="4"/>
  </cols>
  <sheetData>
    <row r="1" spans="1:21" ht="13.8" x14ac:dyDescent="0.25">
      <c r="A1" s="1" t="s">
        <v>0</v>
      </c>
      <c r="B1" s="24" t="s">
        <v>1</v>
      </c>
      <c r="C1" s="24"/>
      <c r="D1" s="24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</row>
    <row r="2" spans="1:21" ht="13.8" x14ac:dyDescent="0.25">
      <c r="A2" s="5" t="s">
        <v>2</v>
      </c>
      <c r="B2" s="24" t="s">
        <v>3</v>
      </c>
      <c r="C2" s="24"/>
      <c r="D2" s="24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  <c r="R2" s="3"/>
      <c r="S2" s="3"/>
      <c r="T2" s="3"/>
      <c r="U2" s="3"/>
    </row>
    <row r="3" spans="1:21" ht="13.8" x14ac:dyDescent="0.25">
      <c r="A3" s="25" t="s">
        <v>4</v>
      </c>
      <c r="B3" s="24" t="s">
        <v>5</v>
      </c>
      <c r="C3" s="24"/>
      <c r="D3" s="24"/>
      <c r="E3" s="1"/>
      <c r="F3" s="1"/>
      <c r="G3" s="1"/>
      <c r="H3" s="1"/>
      <c r="I3" s="1"/>
      <c r="J3" s="1"/>
      <c r="K3" s="1"/>
      <c r="L3" s="1"/>
      <c r="M3" s="3"/>
      <c r="N3" s="3"/>
      <c r="O3" s="3"/>
      <c r="P3" s="3"/>
      <c r="Q3" s="3"/>
      <c r="R3" s="3"/>
      <c r="S3" s="3"/>
      <c r="T3" s="3"/>
      <c r="U3" s="3"/>
    </row>
    <row r="4" spans="1:21" ht="13.8" x14ac:dyDescent="0.25">
      <c r="A4" s="25"/>
      <c r="B4" s="24" t="s">
        <v>6</v>
      </c>
      <c r="C4" s="24"/>
      <c r="D4" s="24"/>
      <c r="E4" s="1"/>
      <c r="F4" s="1"/>
      <c r="G4" s="1"/>
      <c r="H4" s="1"/>
      <c r="I4" s="1"/>
      <c r="J4" s="1"/>
      <c r="K4" s="1"/>
      <c r="L4" s="1"/>
      <c r="M4" s="3"/>
      <c r="N4" s="3"/>
      <c r="O4" s="3"/>
      <c r="P4" s="3"/>
      <c r="Q4" s="3"/>
      <c r="R4" s="3"/>
      <c r="S4" s="3"/>
      <c r="T4" s="3"/>
      <c r="U4" s="3"/>
    </row>
    <row r="5" spans="1:21" ht="13.8" x14ac:dyDescent="0.25">
      <c r="A5" s="25"/>
      <c r="B5" s="24" t="s">
        <v>7</v>
      </c>
      <c r="C5" s="24"/>
      <c r="D5" s="24"/>
      <c r="E5" s="1"/>
      <c r="F5" s="1"/>
      <c r="G5" s="1"/>
      <c r="H5" s="1"/>
      <c r="I5" s="1"/>
      <c r="J5" s="1"/>
      <c r="K5" s="1"/>
      <c r="L5" s="1"/>
      <c r="M5" s="3"/>
      <c r="N5" s="3"/>
      <c r="O5" s="3"/>
      <c r="P5" s="3"/>
      <c r="Q5" s="3"/>
      <c r="R5" s="3"/>
      <c r="S5" s="3"/>
      <c r="T5" s="3"/>
      <c r="U5" s="3"/>
    </row>
    <row r="6" spans="1:21" ht="13.8" x14ac:dyDescent="0.25">
      <c r="A6" s="25"/>
      <c r="B6" s="24" t="s">
        <v>8</v>
      </c>
      <c r="C6" s="24"/>
      <c r="D6" s="24"/>
      <c r="E6" s="1"/>
      <c r="F6" s="1"/>
      <c r="G6" s="1"/>
      <c r="H6" s="1"/>
      <c r="I6" s="1"/>
      <c r="J6" s="1"/>
      <c r="K6" s="1"/>
      <c r="L6" s="1"/>
      <c r="M6" s="3"/>
      <c r="N6" s="3"/>
      <c r="O6" s="3"/>
      <c r="P6" s="3"/>
      <c r="Q6" s="3"/>
      <c r="R6" s="3"/>
      <c r="S6" s="3"/>
      <c r="T6" s="3"/>
      <c r="U6" s="3"/>
    </row>
    <row r="7" spans="1:21" ht="13.8" x14ac:dyDescent="0.25">
      <c r="A7" s="25"/>
      <c r="B7" s="24" t="s">
        <v>9</v>
      </c>
      <c r="C7" s="24"/>
      <c r="D7" s="24"/>
      <c r="E7" s="1"/>
      <c r="F7" s="1"/>
      <c r="G7" s="1"/>
      <c r="H7" s="1"/>
      <c r="I7" s="1"/>
      <c r="J7" s="1"/>
      <c r="K7" s="1"/>
      <c r="L7" s="1"/>
      <c r="M7" s="3"/>
      <c r="N7" s="3"/>
      <c r="O7" s="3"/>
      <c r="P7" s="3"/>
      <c r="Q7" s="3"/>
      <c r="R7" s="3"/>
      <c r="S7" s="3"/>
      <c r="T7" s="3"/>
      <c r="U7" s="3"/>
    </row>
    <row r="8" spans="1:21" ht="13.8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</row>
    <row r="9" spans="1:21" ht="13.8" x14ac:dyDescent="0.25">
      <c r="A9" s="5" t="s">
        <v>10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/>
      <c r="N9" s="3"/>
      <c r="O9" s="3"/>
      <c r="P9" s="3"/>
      <c r="Q9" s="3"/>
      <c r="R9" s="3"/>
      <c r="S9" s="3"/>
      <c r="T9" s="3"/>
      <c r="U9" s="3"/>
    </row>
    <row r="10" spans="1:21" ht="13.8" x14ac:dyDescent="0.25">
      <c r="A10" s="6"/>
      <c r="B10" s="26" t="s">
        <v>11</v>
      </c>
      <c r="C10" s="26"/>
      <c r="D10" s="26"/>
      <c r="E10" s="26"/>
      <c r="F10" s="26"/>
      <c r="G10" s="26"/>
      <c r="H10" s="1"/>
      <c r="I10" s="1"/>
      <c r="J10" s="1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</row>
    <row r="11" spans="1:21" ht="13.8" x14ac:dyDescent="0.25">
      <c r="A11" s="7"/>
      <c r="B11" s="27" t="s">
        <v>12</v>
      </c>
      <c r="C11" s="27"/>
      <c r="D11" s="27"/>
      <c r="E11" s="27"/>
      <c r="F11" s="27"/>
      <c r="G11" s="27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</row>
    <row r="12" spans="1:21" ht="13.8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</row>
    <row r="13" spans="1:21" ht="13.8" x14ac:dyDescent="0.25">
      <c r="A13" s="25" t="s">
        <v>13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3"/>
      <c r="N13" s="3"/>
      <c r="O13" s="3"/>
      <c r="P13" s="3"/>
      <c r="Q13" s="3"/>
      <c r="R13" s="3"/>
      <c r="S13" s="3"/>
      <c r="T13" s="3"/>
      <c r="U13" s="3"/>
    </row>
    <row r="14" spans="1:21" ht="13.8" x14ac:dyDescent="0.25">
      <c r="A14" s="5"/>
      <c r="B14" s="5"/>
      <c r="C14" s="5"/>
      <c r="D14" s="5"/>
      <c r="E14" s="25" t="s">
        <v>14</v>
      </c>
      <c r="F14" s="25"/>
      <c r="G14" s="5"/>
      <c r="H14" s="5"/>
      <c r="I14" s="5"/>
      <c r="J14" s="5"/>
      <c r="K14" s="5"/>
      <c r="L14" s="5"/>
      <c r="M14" s="3"/>
      <c r="N14" s="3"/>
      <c r="O14" s="3"/>
      <c r="P14" s="3"/>
      <c r="Q14" s="3"/>
      <c r="R14" s="3"/>
      <c r="S14" s="3"/>
      <c r="T14" s="3"/>
      <c r="U14" s="3"/>
    </row>
    <row r="15" spans="1:21" ht="27.6" x14ac:dyDescent="0.25">
      <c r="A15" s="8" t="s">
        <v>15</v>
      </c>
      <c r="B15" s="9" t="s">
        <v>16</v>
      </c>
      <c r="C15" s="9" t="s">
        <v>17</v>
      </c>
      <c r="D15" s="9" t="s">
        <v>18</v>
      </c>
      <c r="E15" s="9" t="s">
        <v>19</v>
      </c>
      <c r="F15" s="9" t="s">
        <v>20</v>
      </c>
      <c r="G15" s="9" t="s">
        <v>21</v>
      </c>
      <c r="H15" s="9" t="s">
        <v>22</v>
      </c>
      <c r="I15" s="9" t="s">
        <v>23</v>
      </c>
      <c r="J15" s="9" t="s">
        <v>24</v>
      </c>
      <c r="K15" s="10" t="s">
        <v>25</v>
      </c>
      <c r="L15" s="2" t="s">
        <v>26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ht="25.35" customHeight="1" x14ac:dyDescent="0.25">
      <c r="A16" s="8" t="s">
        <v>27</v>
      </c>
      <c r="B16" s="9" t="s">
        <v>28</v>
      </c>
      <c r="C16" s="28" t="s">
        <v>29</v>
      </c>
      <c r="D16" s="28"/>
      <c r="E16" s="28"/>
      <c r="F16" s="28"/>
      <c r="G16" s="28"/>
      <c r="H16" s="28"/>
      <c r="I16" s="9"/>
      <c r="J16" s="9"/>
      <c r="K16" s="10"/>
      <c r="L16" s="10"/>
      <c r="M16" s="3"/>
      <c r="N16" s="3"/>
      <c r="O16" s="3"/>
      <c r="P16" s="3"/>
      <c r="Q16" s="3"/>
      <c r="R16" s="3"/>
      <c r="S16" s="3"/>
      <c r="T16" s="3"/>
      <c r="U16" s="3"/>
    </row>
    <row r="17" spans="1:21" ht="27.6" x14ac:dyDescent="0.25">
      <c r="A17" s="11" t="s">
        <v>30</v>
      </c>
      <c r="B17" s="12" t="s">
        <v>31</v>
      </c>
      <c r="C17" s="12">
        <v>1</v>
      </c>
      <c r="D17" s="13" t="s">
        <v>29</v>
      </c>
      <c r="E17" s="12" t="s">
        <v>29</v>
      </c>
      <c r="F17" s="13">
        <v>299</v>
      </c>
      <c r="G17" s="12" t="s">
        <v>29</v>
      </c>
      <c r="H17" s="12" t="s">
        <v>29</v>
      </c>
      <c r="I17" s="12" t="s">
        <v>32</v>
      </c>
      <c r="J17" s="12" t="s">
        <v>33</v>
      </c>
      <c r="K17" s="14" t="s">
        <v>34</v>
      </c>
      <c r="L17" s="14" t="s">
        <v>29</v>
      </c>
      <c r="M17" s="3"/>
      <c r="N17" s="3"/>
      <c r="O17" s="3"/>
      <c r="P17" s="3"/>
      <c r="Q17" s="3"/>
      <c r="R17" s="3"/>
      <c r="S17" s="3"/>
      <c r="T17" s="3"/>
      <c r="U17" s="3"/>
    </row>
    <row r="18" spans="1:21" ht="27.6" x14ac:dyDescent="0.25">
      <c r="A18" s="11" t="s">
        <v>35</v>
      </c>
      <c r="B18" s="12" t="s">
        <v>36</v>
      </c>
      <c r="C18" s="12">
        <v>1</v>
      </c>
      <c r="D18" s="13">
        <v>55.9</v>
      </c>
      <c r="E18" s="12" t="s">
        <v>29</v>
      </c>
      <c r="F18" s="13">
        <f>D18*C18</f>
        <v>55.9</v>
      </c>
      <c r="G18" s="12" t="s">
        <v>29</v>
      </c>
      <c r="H18" s="12" t="s">
        <v>29</v>
      </c>
      <c r="I18" s="12" t="s">
        <v>32</v>
      </c>
      <c r="J18" s="12" t="s">
        <v>33</v>
      </c>
      <c r="K18" s="14" t="s">
        <v>34</v>
      </c>
      <c r="L18" s="15" t="s">
        <v>36</v>
      </c>
      <c r="M18" s="3"/>
      <c r="N18" s="3"/>
      <c r="O18" s="3"/>
      <c r="P18" s="3"/>
      <c r="Q18" s="3"/>
      <c r="R18" s="3"/>
      <c r="S18" s="3"/>
      <c r="T18" s="3"/>
      <c r="U18" s="3"/>
    </row>
    <row r="19" spans="1:21" ht="27.6" x14ac:dyDescent="0.25">
      <c r="A19" s="8" t="s">
        <v>37</v>
      </c>
      <c r="B19" s="9" t="s">
        <v>38</v>
      </c>
      <c r="C19" s="9">
        <v>4</v>
      </c>
      <c r="D19" s="16">
        <v>7.4</v>
      </c>
      <c r="E19" s="16">
        <f>D19*C19</f>
        <v>29.6</v>
      </c>
      <c r="F19" s="9" t="s">
        <v>29</v>
      </c>
      <c r="G19" s="9" t="s">
        <v>29</v>
      </c>
      <c r="H19" s="9" t="s">
        <v>29</v>
      </c>
      <c r="I19" s="9" t="s">
        <v>32</v>
      </c>
      <c r="J19" s="9" t="s">
        <v>39</v>
      </c>
      <c r="K19" s="10" t="s">
        <v>29</v>
      </c>
      <c r="L19" s="17" t="s">
        <v>40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ht="27.6" x14ac:dyDescent="0.25">
      <c r="A20" s="8" t="s">
        <v>37</v>
      </c>
      <c r="B20" s="9" t="s">
        <v>38</v>
      </c>
      <c r="C20" s="9">
        <v>8</v>
      </c>
      <c r="D20" s="16">
        <v>7</v>
      </c>
      <c r="E20" s="16">
        <f>D20*C20</f>
        <v>56</v>
      </c>
      <c r="F20" s="9" t="s">
        <v>29</v>
      </c>
      <c r="G20" s="9" t="s">
        <v>29</v>
      </c>
      <c r="H20" s="9" t="s">
        <v>29</v>
      </c>
      <c r="I20" s="9" t="s">
        <v>32</v>
      </c>
      <c r="J20" s="9" t="s">
        <v>39</v>
      </c>
      <c r="K20" s="10" t="s">
        <v>29</v>
      </c>
      <c r="L20" s="10" t="s">
        <v>41</v>
      </c>
      <c r="M20" s="3"/>
      <c r="N20" s="3"/>
      <c r="O20" s="3"/>
      <c r="P20" s="3"/>
      <c r="Q20" s="3"/>
      <c r="R20" s="3"/>
      <c r="S20" s="3"/>
      <c r="T20" s="3"/>
      <c r="U20" s="3"/>
    </row>
    <row r="21" spans="1:21" ht="55.2" x14ac:dyDescent="0.25">
      <c r="A21" s="11" t="s">
        <v>42</v>
      </c>
      <c r="B21" s="12" t="s">
        <v>43</v>
      </c>
      <c r="C21" s="12">
        <v>1</v>
      </c>
      <c r="D21" s="13">
        <v>197.9</v>
      </c>
      <c r="E21" s="12" t="s">
        <v>29</v>
      </c>
      <c r="F21" s="13">
        <f>D21*C21</f>
        <v>197.9</v>
      </c>
      <c r="G21" s="12" t="s">
        <v>29</v>
      </c>
      <c r="H21" s="12" t="s">
        <v>29</v>
      </c>
      <c r="I21" s="12" t="s">
        <v>32</v>
      </c>
      <c r="J21" s="12" t="s">
        <v>33</v>
      </c>
      <c r="K21" s="14" t="s">
        <v>34</v>
      </c>
      <c r="L21" s="15" t="s">
        <v>44</v>
      </c>
      <c r="M21" s="3"/>
      <c r="N21" s="3"/>
      <c r="O21" s="3"/>
      <c r="P21" s="3"/>
      <c r="Q21" s="3"/>
      <c r="R21" s="3"/>
      <c r="S21" s="3"/>
      <c r="T21" s="3"/>
      <c r="U21" s="3"/>
    </row>
    <row r="22" spans="1:21" ht="27.6" x14ac:dyDescent="0.25">
      <c r="A22" s="8" t="s">
        <v>45</v>
      </c>
      <c r="B22" s="9" t="s">
        <v>46</v>
      </c>
      <c r="C22" s="9">
        <v>1</v>
      </c>
      <c r="D22" s="16">
        <v>11.99</v>
      </c>
      <c r="E22" s="16">
        <f t="shared" ref="E22:E30" si="0">D22*C22</f>
        <v>11.99</v>
      </c>
      <c r="F22" s="9" t="s">
        <v>29</v>
      </c>
      <c r="G22" s="9" t="s">
        <v>29</v>
      </c>
      <c r="H22" s="9" t="s">
        <v>29</v>
      </c>
      <c r="I22" s="9" t="s">
        <v>32</v>
      </c>
      <c r="J22" s="9" t="s">
        <v>39</v>
      </c>
      <c r="K22" s="10" t="s">
        <v>29</v>
      </c>
      <c r="L22" s="17" t="s">
        <v>46</v>
      </c>
      <c r="M22" s="3"/>
      <c r="N22" s="3"/>
      <c r="O22" s="3"/>
      <c r="P22" s="3"/>
      <c r="Q22" s="3"/>
      <c r="R22" s="3"/>
      <c r="S22" s="3"/>
      <c r="T22" s="3"/>
      <c r="U22" s="3"/>
    </row>
    <row r="23" spans="1:21" ht="27.6" x14ac:dyDescent="0.25">
      <c r="A23" s="8" t="s">
        <v>47</v>
      </c>
      <c r="B23" s="9" t="s">
        <v>48</v>
      </c>
      <c r="C23" s="9">
        <v>1</v>
      </c>
      <c r="D23" s="16">
        <v>7</v>
      </c>
      <c r="E23" s="16">
        <f t="shared" si="0"/>
        <v>7</v>
      </c>
      <c r="F23" s="9" t="s">
        <v>29</v>
      </c>
      <c r="G23" s="9" t="s">
        <v>29</v>
      </c>
      <c r="H23" s="9" t="s">
        <v>29</v>
      </c>
      <c r="I23" s="9" t="s">
        <v>32</v>
      </c>
      <c r="J23" s="9" t="s">
        <v>39</v>
      </c>
      <c r="K23" s="10" t="s">
        <v>29</v>
      </c>
      <c r="L23" s="10" t="s">
        <v>41</v>
      </c>
      <c r="M23" s="3"/>
      <c r="N23" s="3"/>
      <c r="O23" s="3"/>
      <c r="P23" s="3"/>
      <c r="Q23" s="3"/>
      <c r="R23" s="3"/>
      <c r="S23" s="3"/>
      <c r="T23" s="3"/>
      <c r="U23" s="3"/>
    </row>
    <row r="24" spans="1:21" ht="27.6" x14ac:dyDescent="0.25">
      <c r="A24" s="8" t="s">
        <v>47</v>
      </c>
      <c r="B24" s="9" t="s">
        <v>48</v>
      </c>
      <c r="C24" s="9">
        <v>3</v>
      </c>
      <c r="D24" s="16">
        <v>6</v>
      </c>
      <c r="E24" s="16">
        <f t="shared" si="0"/>
        <v>18</v>
      </c>
      <c r="F24" s="9" t="s">
        <v>29</v>
      </c>
      <c r="G24" s="9" t="s">
        <v>29</v>
      </c>
      <c r="H24" s="9" t="s">
        <v>29</v>
      </c>
      <c r="I24" s="9" t="s">
        <v>32</v>
      </c>
      <c r="J24" s="9" t="s">
        <v>39</v>
      </c>
      <c r="K24" s="10" t="s">
        <v>29</v>
      </c>
      <c r="L24" s="10" t="s">
        <v>41</v>
      </c>
      <c r="M24" s="3"/>
      <c r="N24" s="3"/>
      <c r="O24" s="3"/>
      <c r="P24" s="3"/>
      <c r="Q24" s="3"/>
      <c r="R24" s="3"/>
      <c r="S24" s="3"/>
      <c r="T24" s="3"/>
      <c r="U24" s="3"/>
    </row>
    <row r="25" spans="1:21" ht="41.4" x14ac:dyDescent="0.25">
      <c r="A25" s="8" t="s">
        <v>49</v>
      </c>
      <c r="B25" s="9" t="s">
        <v>50</v>
      </c>
      <c r="C25" s="9">
        <v>1</v>
      </c>
      <c r="D25" s="16">
        <v>35</v>
      </c>
      <c r="E25" s="16">
        <f t="shared" si="0"/>
        <v>35</v>
      </c>
      <c r="F25" s="9" t="s">
        <v>29</v>
      </c>
      <c r="G25" s="9" t="s">
        <v>29</v>
      </c>
      <c r="H25" s="9" t="s">
        <v>29</v>
      </c>
      <c r="I25" s="9" t="s">
        <v>32</v>
      </c>
      <c r="J25" s="9" t="s">
        <v>33</v>
      </c>
      <c r="K25" s="10" t="s">
        <v>29</v>
      </c>
      <c r="L25" s="17" t="s">
        <v>50</v>
      </c>
      <c r="M25" s="3"/>
      <c r="N25" s="3"/>
      <c r="O25" s="3"/>
      <c r="P25" s="3"/>
      <c r="Q25" s="3"/>
      <c r="R25" s="3"/>
      <c r="S25" s="3"/>
      <c r="T25" s="3"/>
      <c r="U25" s="3"/>
    </row>
    <row r="26" spans="1:21" ht="27.6" x14ac:dyDescent="0.25">
      <c r="A26" s="8" t="s">
        <v>51</v>
      </c>
      <c r="B26" s="9" t="s">
        <v>52</v>
      </c>
      <c r="C26" s="9">
        <v>1</v>
      </c>
      <c r="D26" s="16">
        <v>7.99</v>
      </c>
      <c r="E26" s="16">
        <f t="shared" si="0"/>
        <v>7.99</v>
      </c>
      <c r="F26" s="9" t="s">
        <v>29</v>
      </c>
      <c r="G26" s="9" t="s">
        <v>29</v>
      </c>
      <c r="H26" s="9">
        <v>1500</v>
      </c>
      <c r="I26" s="9" t="s">
        <v>32</v>
      </c>
      <c r="J26" s="9" t="s">
        <v>33</v>
      </c>
      <c r="K26" s="10" t="s">
        <v>29</v>
      </c>
      <c r="L26" s="17" t="s">
        <v>52</v>
      </c>
      <c r="M26" s="3"/>
      <c r="N26" s="3"/>
      <c r="O26" s="3"/>
      <c r="P26" s="3"/>
      <c r="Q26" s="3"/>
      <c r="R26" s="3"/>
      <c r="S26" s="3"/>
      <c r="T26" s="3"/>
      <c r="U26" s="3"/>
    </row>
    <row r="27" spans="1:21" ht="27.6" x14ac:dyDescent="0.25">
      <c r="A27" s="8" t="s">
        <v>53</v>
      </c>
      <c r="B27" s="9" t="s">
        <v>52</v>
      </c>
      <c r="C27" s="9">
        <v>1</v>
      </c>
      <c r="D27" s="16">
        <v>6.99</v>
      </c>
      <c r="E27" s="16">
        <f t="shared" si="0"/>
        <v>6.99</v>
      </c>
      <c r="F27" s="9" t="s">
        <v>29</v>
      </c>
      <c r="G27" s="9" t="s">
        <v>29</v>
      </c>
      <c r="H27" s="9">
        <v>1000</v>
      </c>
      <c r="I27" s="9"/>
      <c r="J27" s="9"/>
      <c r="K27" s="10"/>
      <c r="L27" s="17" t="s">
        <v>52</v>
      </c>
      <c r="M27" s="3"/>
      <c r="N27" s="3"/>
      <c r="O27" s="3"/>
      <c r="P27" s="3"/>
      <c r="Q27" s="3"/>
      <c r="R27" s="3"/>
      <c r="S27" s="3"/>
      <c r="T27" s="3"/>
      <c r="U27" s="3"/>
    </row>
    <row r="28" spans="1:21" ht="13.8" x14ac:dyDescent="0.25">
      <c r="A28" s="8" t="s">
        <v>54</v>
      </c>
      <c r="B28" s="9" t="s">
        <v>55</v>
      </c>
      <c r="C28" s="9">
        <v>1</v>
      </c>
      <c r="D28" s="16">
        <v>2</v>
      </c>
      <c r="E28" s="16">
        <f t="shared" si="0"/>
        <v>2</v>
      </c>
      <c r="F28" s="9" t="s">
        <v>29</v>
      </c>
      <c r="G28" s="9" t="s">
        <v>29</v>
      </c>
      <c r="H28" s="9">
        <v>1500</v>
      </c>
      <c r="I28" s="9" t="s">
        <v>32</v>
      </c>
      <c r="J28" s="9" t="s">
        <v>33</v>
      </c>
      <c r="K28" s="10" t="s">
        <v>29</v>
      </c>
      <c r="L28" s="10" t="s">
        <v>41</v>
      </c>
      <c r="M28" s="3"/>
      <c r="N28" s="3"/>
      <c r="O28" s="3"/>
      <c r="P28" s="3"/>
      <c r="Q28" s="3"/>
      <c r="R28" s="3"/>
      <c r="S28" s="3"/>
      <c r="T28" s="3"/>
      <c r="U28" s="3"/>
    </row>
    <row r="29" spans="1:21" ht="27.6" x14ac:dyDescent="0.25">
      <c r="A29" s="8" t="s">
        <v>56</v>
      </c>
      <c r="B29" s="9" t="s">
        <v>57</v>
      </c>
      <c r="C29" s="9">
        <v>1</v>
      </c>
      <c r="D29" s="16">
        <v>8.18</v>
      </c>
      <c r="E29" s="16">
        <f t="shared" si="0"/>
        <v>8.18</v>
      </c>
      <c r="F29" s="9" t="s">
        <v>29</v>
      </c>
      <c r="G29" s="9" t="s">
        <v>58</v>
      </c>
      <c r="H29" s="9" t="s">
        <v>59</v>
      </c>
      <c r="I29" s="9" t="s">
        <v>32</v>
      </c>
      <c r="J29" s="9" t="s">
        <v>39</v>
      </c>
      <c r="K29" s="10" t="s">
        <v>60</v>
      </c>
      <c r="L29" s="17" t="s">
        <v>57</v>
      </c>
      <c r="M29" s="3"/>
      <c r="N29" s="3"/>
      <c r="O29" s="3"/>
      <c r="P29" s="3"/>
      <c r="Q29" s="3"/>
      <c r="R29" s="3"/>
      <c r="S29" s="3"/>
      <c r="T29" s="3"/>
      <c r="U29" s="3"/>
    </row>
    <row r="30" spans="1:21" ht="27.6" x14ac:dyDescent="0.25">
      <c r="A30" s="8" t="s">
        <v>61</v>
      </c>
      <c r="B30" s="9" t="s">
        <v>62</v>
      </c>
      <c r="C30" s="9">
        <v>1</v>
      </c>
      <c r="D30" s="16">
        <v>39.880000000000003</v>
      </c>
      <c r="E30" s="16">
        <f t="shared" si="0"/>
        <v>39.880000000000003</v>
      </c>
      <c r="F30" s="9" t="s">
        <v>29</v>
      </c>
      <c r="G30" s="9" t="s">
        <v>63</v>
      </c>
      <c r="H30" s="9" t="s">
        <v>64</v>
      </c>
      <c r="I30" s="9" t="s">
        <v>32</v>
      </c>
      <c r="J30" s="9" t="s">
        <v>39</v>
      </c>
      <c r="K30" s="10" t="s">
        <v>60</v>
      </c>
      <c r="L30" s="17" t="s">
        <v>62</v>
      </c>
      <c r="M30" s="3"/>
      <c r="N30" s="3"/>
      <c r="O30" s="3"/>
      <c r="P30" s="3"/>
      <c r="Q30" s="3"/>
      <c r="R30" s="3"/>
      <c r="S30" s="3"/>
      <c r="T30" s="3"/>
      <c r="U30" s="3"/>
    </row>
    <row r="31" spans="1:21" ht="13.8" x14ac:dyDescent="0.25">
      <c r="A31" s="11" t="s">
        <v>65</v>
      </c>
      <c r="B31" s="12" t="s">
        <v>66</v>
      </c>
      <c r="C31" s="12">
        <v>1</v>
      </c>
      <c r="D31" s="13">
        <v>14.1</v>
      </c>
      <c r="E31" s="12" t="s">
        <v>29</v>
      </c>
      <c r="F31" s="13">
        <f t="shared" ref="F31:F42" si="1">D31*C31</f>
        <v>14.1</v>
      </c>
      <c r="G31" s="12" t="s">
        <v>67</v>
      </c>
      <c r="H31" s="12" t="s">
        <v>68</v>
      </c>
      <c r="I31" s="12" t="s">
        <v>32</v>
      </c>
      <c r="J31" s="12" t="s">
        <v>33</v>
      </c>
      <c r="K31" s="14" t="s">
        <v>34</v>
      </c>
      <c r="L31" s="15" t="s">
        <v>69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 ht="13.8" x14ac:dyDescent="0.25">
      <c r="A32" s="11" t="s">
        <v>70</v>
      </c>
      <c r="B32" s="12" t="s">
        <v>71</v>
      </c>
      <c r="C32" s="12">
        <v>1</v>
      </c>
      <c r="D32" s="13">
        <v>1.04</v>
      </c>
      <c r="E32" s="12" t="s">
        <v>29</v>
      </c>
      <c r="F32" s="13">
        <f t="shared" si="1"/>
        <v>1.04</v>
      </c>
      <c r="G32" s="12" t="s">
        <v>67</v>
      </c>
      <c r="H32" s="12" t="s">
        <v>72</v>
      </c>
      <c r="I32" s="12" t="s">
        <v>32</v>
      </c>
      <c r="J32" s="12" t="s">
        <v>33</v>
      </c>
      <c r="K32" s="14" t="s">
        <v>34</v>
      </c>
      <c r="L32" s="15" t="s">
        <v>71</v>
      </c>
      <c r="M32" s="3"/>
      <c r="N32" s="3"/>
      <c r="O32" s="3"/>
      <c r="P32" s="3"/>
      <c r="Q32" s="3"/>
      <c r="R32" s="3"/>
      <c r="S32" s="3"/>
      <c r="T32" s="3"/>
      <c r="U32" s="3"/>
    </row>
    <row r="33" spans="1:21" ht="27.6" x14ac:dyDescent="0.25">
      <c r="A33" s="11" t="s">
        <v>73</v>
      </c>
      <c r="B33" s="12" t="s">
        <v>74</v>
      </c>
      <c r="C33" s="12">
        <v>3</v>
      </c>
      <c r="D33" s="13">
        <v>7.58</v>
      </c>
      <c r="E33" s="12" t="s">
        <v>29</v>
      </c>
      <c r="F33" s="13">
        <f t="shared" si="1"/>
        <v>22.740000000000002</v>
      </c>
      <c r="G33" s="12" t="s">
        <v>67</v>
      </c>
      <c r="H33" s="12" t="s">
        <v>75</v>
      </c>
      <c r="I33" s="12" t="s">
        <v>32</v>
      </c>
      <c r="J33" s="12" t="s">
        <v>33</v>
      </c>
      <c r="K33" s="14" t="s">
        <v>76</v>
      </c>
      <c r="L33" s="15" t="s">
        <v>74</v>
      </c>
      <c r="M33" s="3"/>
      <c r="N33" s="3"/>
      <c r="O33" s="3"/>
      <c r="P33" s="3"/>
      <c r="Q33" s="3"/>
      <c r="R33" s="3"/>
      <c r="S33" s="3"/>
      <c r="T33" s="3"/>
      <c r="U33" s="3"/>
    </row>
    <row r="34" spans="1:21" ht="41.4" x14ac:dyDescent="0.25">
      <c r="A34" s="11" t="s">
        <v>77</v>
      </c>
      <c r="B34" s="12" t="s">
        <v>78</v>
      </c>
      <c r="C34" s="12">
        <v>19</v>
      </c>
      <c r="D34" s="13">
        <v>0.22</v>
      </c>
      <c r="E34" s="12" t="s">
        <v>29</v>
      </c>
      <c r="F34" s="13">
        <f t="shared" si="1"/>
        <v>4.18</v>
      </c>
      <c r="G34" s="12" t="s">
        <v>79</v>
      </c>
      <c r="H34" s="12" t="s">
        <v>80</v>
      </c>
      <c r="I34" s="12" t="s">
        <v>32</v>
      </c>
      <c r="J34" s="12" t="s">
        <v>33</v>
      </c>
      <c r="K34" s="14" t="s">
        <v>81</v>
      </c>
      <c r="L34" s="15" t="s">
        <v>82</v>
      </c>
      <c r="M34" s="3"/>
      <c r="N34" s="3"/>
      <c r="O34" s="3"/>
      <c r="P34" s="3"/>
      <c r="Q34" s="3"/>
      <c r="R34" s="3"/>
      <c r="S34" s="3"/>
      <c r="T34" s="3"/>
      <c r="U34" s="3"/>
    </row>
    <row r="35" spans="1:21" ht="27.6" x14ac:dyDescent="0.25">
      <c r="A35" s="11" t="s">
        <v>83</v>
      </c>
      <c r="B35" s="12" t="s">
        <v>82</v>
      </c>
      <c r="C35" s="12">
        <v>4</v>
      </c>
      <c r="D35" s="13">
        <v>0.1</v>
      </c>
      <c r="E35" s="12" t="s">
        <v>29</v>
      </c>
      <c r="F35" s="13">
        <f t="shared" si="1"/>
        <v>0.4</v>
      </c>
      <c r="G35" s="12" t="s">
        <v>79</v>
      </c>
      <c r="H35" s="12" t="s">
        <v>84</v>
      </c>
      <c r="I35" s="12" t="s">
        <v>32</v>
      </c>
      <c r="J35" s="12" t="s">
        <v>33</v>
      </c>
      <c r="K35" s="14" t="s">
        <v>34</v>
      </c>
      <c r="L35" s="15" t="s">
        <v>82</v>
      </c>
      <c r="M35" s="3"/>
      <c r="N35" s="3"/>
      <c r="O35" s="3"/>
      <c r="P35" s="3"/>
      <c r="Q35" s="3"/>
      <c r="R35" s="3"/>
      <c r="S35" s="3"/>
      <c r="T35" s="3"/>
      <c r="U35" s="3"/>
    </row>
    <row r="36" spans="1:21" ht="55.2" x14ac:dyDescent="0.25">
      <c r="A36" s="11" t="s">
        <v>85</v>
      </c>
      <c r="B36" s="12" t="s">
        <v>86</v>
      </c>
      <c r="C36" s="12">
        <v>6</v>
      </c>
      <c r="D36" s="13">
        <v>0.04</v>
      </c>
      <c r="E36" s="12" t="s">
        <v>29</v>
      </c>
      <c r="F36" s="13">
        <f t="shared" si="1"/>
        <v>0.24</v>
      </c>
      <c r="G36" s="12" t="s">
        <v>79</v>
      </c>
      <c r="H36" s="12" t="s">
        <v>87</v>
      </c>
      <c r="I36" s="12" t="s">
        <v>32</v>
      </c>
      <c r="J36" s="12" t="s">
        <v>33</v>
      </c>
      <c r="K36" s="14" t="s">
        <v>88</v>
      </c>
      <c r="L36" s="15" t="s">
        <v>89</v>
      </c>
      <c r="M36" s="3"/>
      <c r="N36" s="3"/>
      <c r="O36" s="3"/>
      <c r="P36" s="3"/>
      <c r="Q36" s="3"/>
      <c r="R36" s="3"/>
      <c r="S36" s="3"/>
      <c r="T36" s="3"/>
      <c r="U36" s="3"/>
    </row>
    <row r="37" spans="1:21" ht="27.6" x14ac:dyDescent="0.25">
      <c r="A37" s="11" t="s">
        <v>90</v>
      </c>
      <c r="B37" s="12" t="s">
        <v>89</v>
      </c>
      <c r="C37" s="12">
        <v>2</v>
      </c>
      <c r="D37" s="13">
        <v>0.1</v>
      </c>
      <c r="E37" s="12" t="s">
        <v>29</v>
      </c>
      <c r="F37" s="13">
        <f t="shared" si="1"/>
        <v>0.2</v>
      </c>
      <c r="G37" s="12" t="s">
        <v>79</v>
      </c>
      <c r="H37" s="12" t="s">
        <v>91</v>
      </c>
      <c r="I37" s="12" t="s">
        <v>32</v>
      </c>
      <c r="J37" s="12" t="s">
        <v>33</v>
      </c>
      <c r="K37" s="14" t="s">
        <v>34</v>
      </c>
      <c r="L37" s="15" t="s">
        <v>89</v>
      </c>
      <c r="M37" s="3"/>
      <c r="N37" s="3"/>
      <c r="O37" s="3"/>
      <c r="P37" s="3"/>
      <c r="Q37" s="3"/>
      <c r="R37" s="3"/>
      <c r="S37" s="3"/>
      <c r="T37" s="3"/>
      <c r="U37" s="3"/>
    </row>
    <row r="38" spans="1:21" ht="55.2" x14ac:dyDescent="0.25">
      <c r="A38" s="11" t="s">
        <v>92</v>
      </c>
      <c r="B38" s="12" t="s">
        <v>86</v>
      </c>
      <c r="C38" s="12">
        <v>3</v>
      </c>
      <c r="D38" s="13">
        <v>0.1</v>
      </c>
      <c r="E38" s="12" t="s">
        <v>29</v>
      </c>
      <c r="F38" s="13">
        <f t="shared" si="1"/>
        <v>0.30000000000000004</v>
      </c>
      <c r="G38" s="12" t="s">
        <v>79</v>
      </c>
      <c r="H38" s="12" t="s">
        <v>93</v>
      </c>
      <c r="I38" s="12" t="s">
        <v>32</v>
      </c>
      <c r="J38" s="12" t="s">
        <v>33</v>
      </c>
      <c r="K38" s="14" t="s">
        <v>94</v>
      </c>
      <c r="L38" s="15" t="s">
        <v>89</v>
      </c>
      <c r="M38" s="3"/>
      <c r="N38" s="3"/>
      <c r="O38" s="3"/>
      <c r="P38" s="3"/>
      <c r="Q38" s="3"/>
      <c r="R38" s="3"/>
      <c r="S38" s="3"/>
      <c r="T38" s="3"/>
      <c r="U38" s="3"/>
    </row>
    <row r="39" spans="1:21" ht="27.6" x14ac:dyDescent="0.25">
      <c r="A39" s="11" t="s">
        <v>95</v>
      </c>
      <c r="B39" s="12" t="s">
        <v>96</v>
      </c>
      <c r="C39" s="12">
        <v>7</v>
      </c>
      <c r="D39" s="13">
        <v>0.02</v>
      </c>
      <c r="E39" s="12" t="s">
        <v>29</v>
      </c>
      <c r="F39" s="13">
        <f t="shared" si="1"/>
        <v>0.14000000000000001</v>
      </c>
      <c r="G39" s="12" t="s">
        <v>79</v>
      </c>
      <c r="H39" s="12" t="s">
        <v>97</v>
      </c>
      <c r="I39" s="12" t="s">
        <v>32</v>
      </c>
      <c r="J39" s="12" t="s">
        <v>33</v>
      </c>
      <c r="K39" s="14" t="s">
        <v>34</v>
      </c>
      <c r="L39" s="15" t="s">
        <v>96</v>
      </c>
      <c r="M39" s="3"/>
      <c r="N39" s="3"/>
      <c r="O39" s="3"/>
      <c r="P39" s="3"/>
      <c r="Q39" s="3"/>
      <c r="R39" s="3"/>
      <c r="S39" s="3"/>
      <c r="T39" s="3"/>
      <c r="U39" s="3"/>
    </row>
    <row r="40" spans="1:21" ht="27.6" x14ac:dyDescent="0.25">
      <c r="A40" s="11" t="s">
        <v>98</v>
      </c>
      <c r="B40" s="12" t="s">
        <v>99</v>
      </c>
      <c r="C40" s="12">
        <v>4</v>
      </c>
      <c r="D40" s="13">
        <v>0.02</v>
      </c>
      <c r="E40" s="12" t="s">
        <v>29</v>
      </c>
      <c r="F40" s="13">
        <f t="shared" si="1"/>
        <v>0.08</v>
      </c>
      <c r="G40" s="12" t="s">
        <v>79</v>
      </c>
      <c r="H40" s="12" t="s">
        <v>100</v>
      </c>
      <c r="I40" s="12" t="s">
        <v>32</v>
      </c>
      <c r="J40" s="12" t="s">
        <v>33</v>
      </c>
      <c r="K40" s="14" t="s">
        <v>34</v>
      </c>
      <c r="L40" s="15" t="s">
        <v>99</v>
      </c>
      <c r="M40" s="3"/>
      <c r="N40" s="3"/>
      <c r="O40" s="3"/>
      <c r="P40" s="3"/>
      <c r="Q40" s="3"/>
      <c r="R40" s="3"/>
      <c r="S40" s="3"/>
      <c r="T40" s="3"/>
      <c r="U40" s="3"/>
    </row>
    <row r="41" spans="1:21" ht="55.2" x14ac:dyDescent="0.25">
      <c r="A41" s="11" t="s">
        <v>101</v>
      </c>
      <c r="B41" s="12" t="s">
        <v>102</v>
      </c>
      <c r="C41" s="12">
        <v>3</v>
      </c>
      <c r="D41" s="13">
        <v>1.25</v>
      </c>
      <c r="E41" s="12" t="s">
        <v>29</v>
      </c>
      <c r="F41" s="13">
        <f t="shared" si="1"/>
        <v>3.75</v>
      </c>
      <c r="G41" s="12" t="s">
        <v>79</v>
      </c>
      <c r="H41" s="12" t="s">
        <v>103</v>
      </c>
      <c r="I41" s="12" t="s">
        <v>32</v>
      </c>
      <c r="J41" s="12" t="s">
        <v>33</v>
      </c>
      <c r="K41" s="14" t="s">
        <v>94</v>
      </c>
      <c r="L41" s="15" t="s">
        <v>104</v>
      </c>
      <c r="M41" s="3"/>
      <c r="N41" s="3"/>
      <c r="O41" s="3"/>
      <c r="P41" s="3"/>
      <c r="Q41" s="3"/>
      <c r="R41" s="3"/>
      <c r="S41" s="3"/>
      <c r="T41" s="3"/>
      <c r="U41" s="3"/>
    </row>
    <row r="42" spans="1:21" ht="27.6" x14ac:dyDescent="0.25">
      <c r="A42" s="11" t="s">
        <v>105</v>
      </c>
      <c r="B42" s="12" t="s">
        <v>106</v>
      </c>
      <c r="C42" s="12">
        <v>32</v>
      </c>
      <c r="D42" s="13">
        <v>0.38</v>
      </c>
      <c r="E42" s="12" t="s">
        <v>29</v>
      </c>
      <c r="F42" s="13">
        <f t="shared" si="1"/>
        <v>12.16</v>
      </c>
      <c r="G42" s="12" t="s">
        <v>79</v>
      </c>
      <c r="H42" s="12" t="s">
        <v>107</v>
      </c>
      <c r="I42" s="12" t="s">
        <v>32</v>
      </c>
      <c r="J42" s="12" t="s">
        <v>33</v>
      </c>
      <c r="K42" s="14" t="s">
        <v>34</v>
      </c>
      <c r="L42" s="15" t="s">
        <v>106</v>
      </c>
      <c r="M42" s="3"/>
      <c r="N42" s="3"/>
      <c r="O42" s="3"/>
      <c r="P42" s="3"/>
      <c r="Q42" s="3"/>
      <c r="R42" s="3"/>
      <c r="S42" s="3"/>
      <c r="T42" s="3"/>
      <c r="U42" s="3"/>
    </row>
    <row r="43" spans="1:21" ht="13.8" x14ac:dyDescent="0.25">
      <c r="A43" s="11" t="s">
        <v>108</v>
      </c>
      <c r="B43" s="12" t="s">
        <v>109</v>
      </c>
      <c r="C43" s="12">
        <v>1</v>
      </c>
      <c r="D43" s="12" t="s">
        <v>29</v>
      </c>
      <c r="E43" s="12" t="s">
        <v>29</v>
      </c>
      <c r="F43" s="12" t="s">
        <v>29</v>
      </c>
      <c r="G43" s="12" t="s">
        <v>110</v>
      </c>
      <c r="H43" s="12" t="s">
        <v>29</v>
      </c>
      <c r="I43" s="12" t="s">
        <v>32</v>
      </c>
      <c r="J43" s="12" t="s">
        <v>33</v>
      </c>
      <c r="K43" s="14" t="s">
        <v>111</v>
      </c>
      <c r="L43" s="14" t="s">
        <v>29</v>
      </c>
      <c r="M43" s="3"/>
      <c r="N43" s="3"/>
      <c r="O43" s="3"/>
      <c r="P43" s="3"/>
      <c r="Q43" s="3"/>
      <c r="R43" s="3"/>
      <c r="S43" s="3"/>
      <c r="T43" s="3"/>
      <c r="U43" s="3"/>
    </row>
    <row r="44" spans="1:21" ht="13.8" x14ac:dyDescent="0.25">
      <c r="A44" s="11" t="s">
        <v>112</v>
      </c>
      <c r="B44" s="12" t="s">
        <v>113</v>
      </c>
      <c r="C44" s="12">
        <v>1</v>
      </c>
      <c r="D44" s="12" t="s">
        <v>29</v>
      </c>
      <c r="E44" s="12" t="s">
        <v>29</v>
      </c>
      <c r="F44" s="12" t="s">
        <v>29</v>
      </c>
      <c r="G44" s="12" t="s">
        <v>110</v>
      </c>
      <c r="H44" s="12" t="s">
        <v>29</v>
      </c>
      <c r="I44" s="12" t="s">
        <v>32</v>
      </c>
      <c r="J44" s="12" t="s">
        <v>33</v>
      </c>
      <c r="K44" s="14" t="s">
        <v>111</v>
      </c>
      <c r="L44" s="14" t="s">
        <v>29</v>
      </c>
      <c r="M44" s="3"/>
      <c r="N44" s="3"/>
      <c r="O44" s="3"/>
      <c r="P44" s="3"/>
      <c r="Q44" s="3"/>
      <c r="R44" s="3"/>
      <c r="S44" s="3"/>
      <c r="T44" s="3"/>
      <c r="U44" s="3"/>
    </row>
    <row r="45" spans="1:21" ht="27.6" x14ac:dyDescent="0.25">
      <c r="A45" s="11" t="s">
        <v>114</v>
      </c>
      <c r="B45" s="12" t="s">
        <v>115</v>
      </c>
      <c r="C45" s="12">
        <v>1</v>
      </c>
      <c r="D45" s="12" t="s">
        <v>29</v>
      </c>
      <c r="E45" s="12" t="s">
        <v>29</v>
      </c>
      <c r="F45" s="12" t="s">
        <v>29</v>
      </c>
      <c r="G45" s="12" t="s">
        <v>110</v>
      </c>
      <c r="H45" s="12" t="s">
        <v>29</v>
      </c>
      <c r="I45" s="12" t="s">
        <v>32</v>
      </c>
      <c r="J45" s="12" t="s">
        <v>33</v>
      </c>
      <c r="K45" s="14" t="s">
        <v>111</v>
      </c>
      <c r="L45" s="14" t="s">
        <v>29</v>
      </c>
      <c r="M45" s="3"/>
      <c r="N45" s="3"/>
      <c r="O45" s="3"/>
      <c r="P45" s="3"/>
      <c r="Q45" s="3"/>
      <c r="R45" s="3"/>
      <c r="S45" s="3"/>
      <c r="T45" s="3"/>
      <c r="U45" s="3"/>
    </row>
    <row r="46" spans="1:21" ht="27.6" x14ac:dyDescent="0.25">
      <c r="A46" s="11" t="s">
        <v>116</v>
      </c>
      <c r="B46" s="12" t="s">
        <v>117</v>
      </c>
      <c r="C46" s="12">
        <v>1</v>
      </c>
      <c r="D46" s="12" t="s">
        <v>29</v>
      </c>
      <c r="E46" s="12" t="s">
        <v>29</v>
      </c>
      <c r="F46" s="12" t="s">
        <v>29</v>
      </c>
      <c r="G46" s="12" t="s">
        <v>110</v>
      </c>
      <c r="H46" s="12" t="s">
        <v>29</v>
      </c>
      <c r="I46" s="12" t="s">
        <v>32</v>
      </c>
      <c r="J46" s="12" t="s">
        <v>33</v>
      </c>
      <c r="K46" s="14" t="s">
        <v>111</v>
      </c>
      <c r="L46" s="14" t="s">
        <v>29</v>
      </c>
      <c r="M46" s="3"/>
      <c r="N46" s="3"/>
      <c r="O46" s="3"/>
      <c r="P46" s="3"/>
      <c r="Q46" s="3"/>
      <c r="R46" s="3"/>
      <c r="S46" s="3"/>
      <c r="T46" s="3"/>
      <c r="U46" s="3"/>
    </row>
    <row r="47" spans="1:21" ht="27.6" x14ac:dyDescent="0.25">
      <c r="A47" s="11" t="s">
        <v>118</v>
      </c>
      <c r="B47" s="12" t="s">
        <v>119</v>
      </c>
      <c r="C47" s="12">
        <v>1</v>
      </c>
      <c r="D47" s="12" t="s">
        <v>29</v>
      </c>
      <c r="E47" s="12" t="s">
        <v>29</v>
      </c>
      <c r="F47" s="12" t="s">
        <v>29</v>
      </c>
      <c r="G47" s="12" t="s">
        <v>110</v>
      </c>
      <c r="H47" s="12" t="s">
        <v>29</v>
      </c>
      <c r="I47" s="12" t="s">
        <v>32</v>
      </c>
      <c r="J47" s="12" t="s">
        <v>33</v>
      </c>
      <c r="K47" s="14" t="s">
        <v>111</v>
      </c>
      <c r="L47" s="14" t="s">
        <v>29</v>
      </c>
      <c r="M47" s="3"/>
      <c r="N47" s="3"/>
      <c r="O47" s="3"/>
      <c r="P47" s="3"/>
      <c r="Q47" s="3"/>
      <c r="R47" s="3"/>
      <c r="S47" s="3"/>
      <c r="T47" s="3"/>
      <c r="U47" s="3"/>
    </row>
    <row r="48" spans="1:21" ht="13.8" x14ac:dyDescent="0.25">
      <c r="A48" s="11" t="s">
        <v>120</v>
      </c>
      <c r="B48" s="12" t="s">
        <v>121</v>
      </c>
      <c r="C48" s="12">
        <v>1</v>
      </c>
      <c r="D48" s="12" t="s">
        <v>29</v>
      </c>
      <c r="E48" s="12" t="s">
        <v>29</v>
      </c>
      <c r="F48" s="12" t="s">
        <v>29</v>
      </c>
      <c r="G48" s="12" t="s">
        <v>110</v>
      </c>
      <c r="H48" s="12" t="s">
        <v>29</v>
      </c>
      <c r="I48" s="12" t="s">
        <v>32</v>
      </c>
      <c r="J48" s="12" t="s">
        <v>33</v>
      </c>
      <c r="K48" s="14" t="s">
        <v>111</v>
      </c>
      <c r="L48" s="14" t="s">
        <v>29</v>
      </c>
      <c r="M48" s="3"/>
      <c r="N48" s="3"/>
      <c r="O48" s="3"/>
      <c r="P48" s="3"/>
      <c r="Q48" s="3"/>
      <c r="R48" s="3"/>
      <c r="S48" s="3"/>
      <c r="T48" s="3"/>
      <c r="U48" s="3"/>
    </row>
    <row r="49" spans="1:21" ht="13.8" x14ac:dyDescent="0.25">
      <c r="A49" s="8" t="s">
        <v>122</v>
      </c>
      <c r="B49" s="9" t="s">
        <v>123</v>
      </c>
      <c r="C49" s="9">
        <v>1</v>
      </c>
      <c r="D49" s="16">
        <v>13.21</v>
      </c>
      <c r="E49" s="16">
        <f>D49*C49</f>
        <v>13.21</v>
      </c>
      <c r="F49" s="9" t="s">
        <v>29</v>
      </c>
      <c r="G49" s="9" t="s">
        <v>29</v>
      </c>
      <c r="H49" s="9" t="s">
        <v>124</v>
      </c>
      <c r="I49" s="9" t="s">
        <v>32</v>
      </c>
      <c r="J49" s="9" t="s">
        <v>33</v>
      </c>
      <c r="K49" s="10" t="s">
        <v>29</v>
      </c>
      <c r="L49" s="17" t="s">
        <v>123</v>
      </c>
      <c r="M49" s="3"/>
      <c r="N49" s="3"/>
      <c r="O49" s="3"/>
      <c r="P49" s="3"/>
      <c r="Q49" s="3"/>
      <c r="R49" s="3"/>
      <c r="S49" s="3"/>
      <c r="T49" s="3"/>
      <c r="U49" s="3"/>
    </row>
    <row r="50" spans="1:21" ht="13.8" x14ac:dyDescent="0.25">
      <c r="A50" s="8" t="s">
        <v>125</v>
      </c>
      <c r="B50" s="9" t="s">
        <v>126</v>
      </c>
      <c r="C50" s="9">
        <v>1</v>
      </c>
      <c r="D50" s="16">
        <v>2.4900000000000002</v>
      </c>
      <c r="E50" s="16">
        <f>D50*C50</f>
        <v>2.4900000000000002</v>
      </c>
      <c r="F50" s="9" t="s">
        <v>29</v>
      </c>
      <c r="G50" s="9" t="s">
        <v>29</v>
      </c>
      <c r="H50" s="9" t="s">
        <v>127</v>
      </c>
      <c r="I50" s="9" t="s">
        <v>32</v>
      </c>
      <c r="J50" s="9" t="s">
        <v>33</v>
      </c>
      <c r="K50" s="10" t="s">
        <v>29</v>
      </c>
      <c r="L50" s="17" t="s">
        <v>126</v>
      </c>
      <c r="M50" s="3"/>
      <c r="N50" s="3"/>
      <c r="O50" s="3"/>
      <c r="P50" s="3"/>
      <c r="Q50" s="3"/>
      <c r="R50" s="3"/>
      <c r="S50" s="3"/>
      <c r="T50" s="3"/>
      <c r="U50" s="3"/>
    </row>
    <row r="51" spans="1:21" ht="13.8" x14ac:dyDescent="0.25">
      <c r="A51" s="8"/>
      <c r="B51" s="9"/>
      <c r="C51" s="9"/>
      <c r="D51" s="16"/>
      <c r="E51" s="16"/>
      <c r="F51" s="16"/>
      <c r="G51" s="9"/>
      <c r="H51" s="9"/>
      <c r="I51" s="9"/>
      <c r="J51" s="9"/>
      <c r="K51" s="10"/>
      <c r="L51" s="10"/>
      <c r="M51" s="3"/>
      <c r="N51" s="3"/>
      <c r="O51" s="3"/>
      <c r="P51" s="3"/>
      <c r="Q51" s="3"/>
      <c r="R51" s="3"/>
      <c r="S51" s="3"/>
      <c r="T51" s="3"/>
      <c r="U51" s="3"/>
    </row>
    <row r="52" spans="1:21" ht="27.6" x14ac:dyDescent="0.25">
      <c r="A52" s="8" t="s">
        <v>128</v>
      </c>
      <c r="B52" s="9" t="s">
        <v>129</v>
      </c>
      <c r="C52" s="9">
        <v>1</v>
      </c>
      <c r="D52" s="16">
        <v>13.08</v>
      </c>
      <c r="E52" s="16">
        <f>D52*C52</f>
        <v>13.08</v>
      </c>
      <c r="F52" s="9" t="s">
        <v>29</v>
      </c>
      <c r="G52" s="9" t="s">
        <v>130</v>
      </c>
      <c r="H52" s="9" t="s">
        <v>131</v>
      </c>
      <c r="I52" s="9" t="s">
        <v>32</v>
      </c>
      <c r="J52" s="9" t="s">
        <v>33</v>
      </c>
      <c r="K52" s="10" t="s">
        <v>29</v>
      </c>
      <c r="L52" s="17" t="s">
        <v>129</v>
      </c>
      <c r="M52" s="3"/>
      <c r="N52" s="3"/>
      <c r="O52" s="3"/>
      <c r="P52" s="3"/>
      <c r="Q52" s="3"/>
      <c r="R52" s="3"/>
      <c r="S52" s="3"/>
      <c r="T52" s="3"/>
      <c r="U52" s="3"/>
    </row>
    <row r="53" spans="1:21" ht="13.8" x14ac:dyDescent="0.25">
      <c r="A53" s="8" t="s">
        <v>132</v>
      </c>
      <c r="B53" s="9" t="s">
        <v>133</v>
      </c>
      <c r="C53" s="9">
        <v>1</v>
      </c>
      <c r="D53" s="16">
        <v>6.32</v>
      </c>
      <c r="E53" s="16">
        <f>D53*C53</f>
        <v>6.32</v>
      </c>
      <c r="F53" s="9" t="s">
        <v>29</v>
      </c>
      <c r="G53" s="9" t="s">
        <v>130</v>
      </c>
      <c r="H53" s="9" t="s">
        <v>29</v>
      </c>
      <c r="I53" s="9" t="s">
        <v>32</v>
      </c>
      <c r="J53" s="9" t="s">
        <v>33</v>
      </c>
      <c r="K53" s="10" t="s">
        <v>29</v>
      </c>
      <c r="L53" s="10" t="s">
        <v>41</v>
      </c>
      <c r="M53" s="3"/>
      <c r="N53" s="3"/>
      <c r="O53" s="3"/>
      <c r="P53" s="3"/>
      <c r="Q53" s="3"/>
      <c r="R53" s="3"/>
      <c r="S53" s="3"/>
      <c r="T53" s="3"/>
      <c r="U53" s="3"/>
    </row>
    <row r="54" spans="1:21" ht="41.4" x14ac:dyDescent="0.25">
      <c r="A54" s="8" t="s">
        <v>134</v>
      </c>
      <c r="B54" s="9" t="s">
        <v>135</v>
      </c>
      <c r="C54" s="9">
        <v>1</v>
      </c>
      <c r="D54" s="16">
        <v>16.239999999999998</v>
      </c>
      <c r="E54" s="16">
        <f>D54*C54</f>
        <v>16.239999999999998</v>
      </c>
      <c r="F54" s="9" t="s">
        <v>29</v>
      </c>
      <c r="G54" s="9" t="s">
        <v>136</v>
      </c>
      <c r="H54" s="9" t="s">
        <v>29</v>
      </c>
      <c r="I54" s="9" t="s">
        <v>32</v>
      </c>
      <c r="J54" s="9" t="s">
        <v>33</v>
      </c>
      <c r="K54" s="10" t="s">
        <v>137</v>
      </c>
      <c r="L54" s="17" t="s">
        <v>138</v>
      </c>
      <c r="M54" s="3"/>
      <c r="N54" s="3"/>
      <c r="O54" s="3"/>
      <c r="P54" s="3"/>
      <c r="Q54" s="3"/>
      <c r="R54" s="3"/>
      <c r="S54" s="3"/>
      <c r="T54" s="3"/>
      <c r="U54" s="3"/>
    </row>
    <row r="55" spans="1:21" ht="27.6" x14ac:dyDescent="0.25">
      <c r="A55" s="11" t="s">
        <v>152</v>
      </c>
      <c r="B55" s="12" t="s">
        <v>139</v>
      </c>
      <c r="C55" s="12">
        <v>1</v>
      </c>
      <c r="D55" s="12">
        <v>321.07</v>
      </c>
      <c r="E55" s="12" t="s">
        <v>29</v>
      </c>
      <c r="F55" s="13">
        <f>D55*C55</f>
        <v>321.07</v>
      </c>
      <c r="G55" s="12" t="s">
        <v>29</v>
      </c>
      <c r="H55" s="12" t="s">
        <v>29</v>
      </c>
      <c r="I55" s="12" t="s">
        <v>32</v>
      </c>
      <c r="J55" s="12" t="s">
        <v>33</v>
      </c>
      <c r="K55" s="14" t="s">
        <v>29</v>
      </c>
      <c r="L55" s="15" t="s">
        <v>139</v>
      </c>
      <c r="M55" s="3"/>
      <c r="N55" s="3"/>
      <c r="O55" s="3"/>
      <c r="P55" s="3"/>
      <c r="Q55" s="3"/>
      <c r="R55" s="3"/>
      <c r="S55" s="3"/>
      <c r="T55" s="3"/>
      <c r="U55" s="3"/>
    </row>
    <row r="56" spans="1:21" ht="13.8" x14ac:dyDescent="0.25">
      <c r="A56" s="8" t="s">
        <v>153</v>
      </c>
      <c r="B56" s="9" t="s">
        <v>150</v>
      </c>
      <c r="C56" s="9">
        <v>1</v>
      </c>
      <c r="D56" s="16">
        <v>57.08</v>
      </c>
      <c r="E56" s="16">
        <f>D56*C56</f>
        <v>57.08</v>
      </c>
      <c r="F56" s="9" t="s">
        <v>29</v>
      </c>
      <c r="G56" s="9" t="s">
        <v>29</v>
      </c>
      <c r="H56" s="9" t="s">
        <v>29</v>
      </c>
      <c r="I56" s="9" t="s">
        <v>32</v>
      </c>
      <c r="J56" s="9" t="s">
        <v>33</v>
      </c>
      <c r="K56" s="10" t="s">
        <v>29</v>
      </c>
      <c r="L56" s="18" t="s">
        <v>150</v>
      </c>
      <c r="M56" s="3"/>
      <c r="N56" s="3"/>
      <c r="O56" s="3"/>
      <c r="P56" s="3"/>
      <c r="Q56" s="3"/>
      <c r="R56" s="3"/>
      <c r="S56" s="3"/>
      <c r="T56" s="3"/>
      <c r="U56" s="3"/>
    </row>
    <row r="57" spans="1:21" ht="13.8" x14ac:dyDescent="0.25">
      <c r="A57" s="8" t="s">
        <v>154</v>
      </c>
      <c r="B57" s="9" t="s">
        <v>140</v>
      </c>
      <c r="C57" s="9">
        <v>1</v>
      </c>
      <c r="D57" s="16">
        <v>14.89</v>
      </c>
      <c r="E57" s="16">
        <f>D57*C57</f>
        <v>14.89</v>
      </c>
      <c r="F57" s="9" t="s">
        <v>29</v>
      </c>
      <c r="G57" s="9" t="s">
        <v>29</v>
      </c>
      <c r="H57" s="9" t="s">
        <v>29</v>
      </c>
      <c r="I57" s="9" t="s">
        <v>32</v>
      </c>
      <c r="J57" s="9" t="s">
        <v>33</v>
      </c>
      <c r="K57" s="10" t="s">
        <v>29</v>
      </c>
      <c r="L57" s="17" t="s">
        <v>140</v>
      </c>
      <c r="M57" s="3"/>
      <c r="N57" s="3"/>
      <c r="O57" s="3"/>
      <c r="P57" s="3"/>
      <c r="Q57" s="3"/>
      <c r="R57" s="3"/>
      <c r="S57" s="3"/>
      <c r="T57" s="3"/>
      <c r="U57" s="3"/>
    </row>
    <row r="58" spans="1:21" ht="13.8" x14ac:dyDescent="0.25">
      <c r="A58" s="8" t="s">
        <v>155</v>
      </c>
      <c r="B58" s="9" t="s">
        <v>141</v>
      </c>
      <c r="C58" s="9">
        <v>1</v>
      </c>
      <c r="D58" s="16">
        <v>9.4</v>
      </c>
      <c r="E58" s="16">
        <f>D58*C58</f>
        <v>9.4</v>
      </c>
      <c r="F58" s="9" t="s">
        <v>29</v>
      </c>
      <c r="G58" s="9" t="s">
        <v>29</v>
      </c>
      <c r="H58" s="9" t="s">
        <v>29</v>
      </c>
      <c r="I58" s="9" t="s">
        <v>32</v>
      </c>
      <c r="J58" s="9" t="s">
        <v>33</v>
      </c>
      <c r="K58" s="10" t="s">
        <v>29</v>
      </c>
      <c r="L58" s="10" t="s">
        <v>41</v>
      </c>
      <c r="M58" s="3"/>
      <c r="N58" s="3"/>
      <c r="O58" s="3"/>
      <c r="P58" s="3"/>
      <c r="Q58" s="3"/>
      <c r="R58" s="3"/>
      <c r="S58" s="3"/>
      <c r="T58" s="3"/>
      <c r="U58" s="3"/>
    </row>
    <row r="59" spans="1:21" ht="13.8" x14ac:dyDescent="0.25">
      <c r="A59" s="8" t="s">
        <v>156</v>
      </c>
      <c r="B59" s="9" t="s">
        <v>142</v>
      </c>
      <c r="C59" s="9">
        <v>1</v>
      </c>
      <c r="D59" s="16">
        <v>2.1800000000000002</v>
      </c>
      <c r="E59" s="16">
        <f>D59*C59</f>
        <v>2.1800000000000002</v>
      </c>
      <c r="F59" s="9" t="s">
        <v>29</v>
      </c>
      <c r="G59" s="9" t="s">
        <v>29</v>
      </c>
      <c r="H59" s="9" t="s">
        <v>29</v>
      </c>
      <c r="I59" s="9" t="s">
        <v>32</v>
      </c>
      <c r="J59" s="9" t="s">
        <v>33</v>
      </c>
      <c r="K59" s="10" t="s">
        <v>29</v>
      </c>
      <c r="L59" s="10" t="s">
        <v>41</v>
      </c>
      <c r="M59" s="3"/>
      <c r="N59" s="3"/>
      <c r="O59" s="3"/>
      <c r="P59" s="3"/>
      <c r="Q59" s="3"/>
      <c r="R59" s="3"/>
      <c r="S59" s="3"/>
      <c r="T59" s="3"/>
      <c r="U59" s="3"/>
    </row>
    <row r="60" spans="1:21" ht="13.8" x14ac:dyDescent="0.25">
      <c r="A60" s="8" t="s">
        <v>151</v>
      </c>
      <c r="B60" s="9" t="s">
        <v>143</v>
      </c>
      <c r="C60" s="9">
        <v>1</v>
      </c>
      <c r="D60" s="16">
        <v>2.1800000000000002</v>
      </c>
      <c r="E60" s="16">
        <f>D60*C60</f>
        <v>2.1800000000000002</v>
      </c>
      <c r="F60" s="9" t="s">
        <v>29</v>
      </c>
      <c r="G60" s="9" t="s">
        <v>29</v>
      </c>
      <c r="H60" s="9" t="s">
        <v>29</v>
      </c>
      <c r="I60" s="9" t="s">
        <v>32</v>
      </c>
      <c r="J60" s="9" t="s">
        <v>33</v>
      </c>
      <c r="K60" s="10" t="s">
        <v>29</v>
      </c>
      <c r="L60" s="10" t="s">
        <v>41</v>
      </c>
      <c r="M60" s="3"/>
      <c r="N60" s="3"/>
      <c r="O60" s="3"/>
      <c r="P60" s="3"/>
      <c r="Q60" s="3"/>
      <c r="R60" s="3"/>
      <c r="S60" s="3"/>
      <c r="T60" s="3"/>
      <c r="U60" s="3"/>
    </row>
    <row r="61" spans="1:21" ht="13.8" x14ac:dyDescent="0.25">
      <c r="A61" s="8"/>
      <c r="B61" s="9"/>
      <c r="C61" s="9"/>
      <c r="D61" s="16"/>
      <c r="E61" s="16"/>
      <c r="F61" s="9"/>
      <c r="G61" s="9"/>
      <c r="H61" s="9"/>
      <c r="I61" s="9"/>
      <c r="J61" s="9"/>
      <c r="K61" s="10"/>
      <c r="L61" s="10"/>
      <c r="M61" s="3"/>
      <c r="N61" s="3"/>
      <c r="O61" s="3"/>
      <c r="P61" s="3"/>
      <c r="Q61" s="3"/>
      <c r="R61" s="3"/>
      <c r="S61" s="3"/>
      <c r="T61" s="3"/>
      <c r="U61" s="3"/>
    </row>
    <row r="62" spans="1:21" ht="13.8" x14ac:dyDescent="0.25">
      <c r="A62" s="19" t="s">
        <v>29</v>
      </c>
      <c r="B62" s="20" t="s">
        <v>144</v>
      </c>
      <c r="C62" s="20" t="s">
        <v>29</v>
      </c>
      <c r="D62" s="20" t="s">
        <v>29</v>
      </c>
      <c r="E62" s="20" t="s">
        <v>29</v>
      </c>
      <c r="F62" s="20" t="s">
        <v>29</v>
      </c>
      <c r="G62" s="20" t="s">
        <v>29</v>
      </c>
      <c r="H62" s="20" t="s">
        <v>29</v>
      </c>
      <c r="I62" s="20" t="s">
        <v>29</v>
      </c>
      <c r="J62" s="20" t="s">
        <v>29</v>
      </c>
      <c r="K62" s="21" t="s">
        <v>145</v>
      </c>
      <c r="L62" s="21" t="s">
        <v>144</v>
      </c>
      <c r="M62" s="3"/>
      <c r="N62" s="3"/>
      <c r="O62" s="3"/>
      <c r="P62" s="3"/>
      <c r="Q62" s="3"/>
      <c r="R62" s="3"/>
      <c r="S62" s="3"/>
      <c r="T62" s="3"/>
      <c r="U62" s="3"/>
    </row>
    <row r="63" spans="1:21" ht="13.8" x14ac:dyDescent="0.25">
      <c r="A63" s="29" t="s">
        <v>146</v>
      </c>
      <c r="B63" s="29"/>
      <c r="C63" s="29"/>
      <c r="D63" s="29"/>
      <c r="E63" s="23">
        <f>SUM(E17:E62)</f>
        <v>359.7</v>
      </c>
      <c r="F63" s="23">
        <f>SUM(F17:F62)</f>
        <v>933.19999999999982</v>
      </c>
      <c r="G63" s="30"/>
      <c r="H63" s="30"/>
      <c r="I63" s="30"/>
      <c r="J63" s="30"/>
      <c r="K63" s="30"/>
      <c r="L63" s="30"/>
      <c r="M63" s="3"/>
      <c r="N63" s="3"/>
      <c r="O63" s="3"/>
      <c r="P63" s="3"/>
      <c r="Q63" s="3"/>
      <c r="R63" s="3"/>
      <c r="S63" s="3"/>
      <c r="T63" s="3"/>
      <c r="U63" s="3"/>
    </row>
    <row r="64" spans="1:21" ht="13.8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13.8" x14ac:dyDescent="0.25">
      <c r="A65" s="3"/>
      <c r="B65" s="8" t="s">
        <v>147</v>
      </c>
      <c r="C65" s="31">
        <f>E63</f>
        <v>359.7</v>
      </c>
      <c r="D65" s="31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13.8" x14ac:dyDescent="0.25">
      <c r="A66" s="3"/>
      <c r="B66" s="8" t="s">
        <v>148</v>
      </c>
      <c r="C66" s="31">
        <f>F63</f>
        <v>933.19999999999982</v>
      </c>
      <c r="D66" s="31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13.8" x14ac:dyDescent="0.25">
      <c r="A67" s="3"/>
      <c r="B67" s="22" t="s">
        <v>149</v>
      </c>
      <c r="C67" s="32">
        <f>SUM(C65:D66)</f>
        <v>1292.8999999999999</v>
      </c>
      <c r="D67" s="32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13.8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13.8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13.8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13.8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13.8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13.8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13.8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13.8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13.8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13.8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13.8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13.8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13.8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13.8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13.8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13.8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13.8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13.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13.8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13.8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13.8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13.8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13.8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13.8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13.8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13.8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13.8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13.8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13.8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13.8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13.8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13.8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13.8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3.8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3.8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3.8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3.8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3.8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3.8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3.8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3.8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3.8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3.8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3.8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3.8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3.8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3.8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3.8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3.8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3.8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3.8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3.8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13.8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13.8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13.8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13.8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13.8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13.8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13.8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13.8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13.8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13.8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13.8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13.8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13.8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13.8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13.8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13.8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13.8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13.8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13.8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13.8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13.8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13.8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13.8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13.8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13.8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13.8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3.8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3.8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3.8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3.8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3.8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3.8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3.8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13.8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3.8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3.8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13.8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3.8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3.8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3.8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13.8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3.8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3.8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3.8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3.8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3.8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3.8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3.8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13.8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3.8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3.8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3.8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3.8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3.8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3.8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3.8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3.8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3.8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3.8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3.8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3.8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3.8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3.8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3.8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3.8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13.8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3.8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3.8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3.8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3.8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3.8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3.8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3.8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3.8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3.8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3.8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3.8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3.8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13.8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3.8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3.8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3.8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13.8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13.8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13.8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13.8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13.8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13.8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13.8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13.8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13.8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13.8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13.8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13.8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13.8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13.8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13.8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13.8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13.8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13.8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13.8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13.8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13.8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13.8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13.8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13.8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13.8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13.8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13.8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13.8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13.8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13.8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13.8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13.8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13.8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13.8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13.8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13.8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13.8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13.8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13.8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13.8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13.8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13.8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13.8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13.8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13.8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13.8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13.8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13.8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13.8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13.8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13.8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13.8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13.8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13.8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13.8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13.8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13.8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13.8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13.8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13.8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13.8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13.8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13.8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13.8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13.8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13.8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13.8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13.8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13.8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13.8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13.8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13.8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13.8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13.8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13.8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13.8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13.8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13.8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13.8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13.8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13.8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13.8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13.8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13.8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13.8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13.8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13.8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13.8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13.8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13.8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13.8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13.8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13.8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13.8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13.8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13.8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13.8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13.8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13.8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13.8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13.8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13.8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13.8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13.8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13.8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13.8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13.8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13.8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13.8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13.8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13.8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13.8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13.8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13.8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13.8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13.8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13.8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13.8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13.8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13.8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13.8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13.8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13.8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13.8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13.8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13.8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13.8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13.8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13.8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13.8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13.8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13.8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13.8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13.8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13.8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13.8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13.8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13.8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13.8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13.8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13.8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13.8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13.8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13.8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13.8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13.8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13.8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13.8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13.8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13.8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13.8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13.8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13.8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13.8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13.8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13.8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13.8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13.8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13.8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13.8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13.8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13.8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13.8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13.8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13.8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13.8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13.8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13.8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13.8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13.8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13.8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13.8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13.8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13.8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13.8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13.8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13.8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13.8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13.8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13.8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13.8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13.8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13.8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13.8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13.8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13.8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13.8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13.8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13.8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13.8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13.8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13.8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13.8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13.8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13.8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13.8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13.8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13.8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13.8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13.8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13.8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13.8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13.8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13.8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13.8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13.8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13.8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13.8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13.8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13.8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13.8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13.8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13.8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13.8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13.8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13.8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13.8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13.8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13.8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13.8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13.8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13.8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13.8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13.8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13.8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13.8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13.8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13.8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13.8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13.8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13.8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13.8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13.8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13.8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13.8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13.8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13.8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13.8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13.8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13.8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13.8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13.8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13.8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13.8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13.8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13.8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13.8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13.8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13.8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13.8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13.8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13.8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13.8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13.8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13.8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13.8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13.8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13.8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13.8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13.8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13.8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13.8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13.8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13.8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13.8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13.8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13.8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13.8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13.8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13.8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13.8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13.8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13.8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13.8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13.8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13.8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13.8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13.8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13.8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13.8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13.8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13.8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13.8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13.8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13.8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13.8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13.8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13.8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13.8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13.8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13.8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13.8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13.8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13.8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13.8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13.8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13.8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13.8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13.8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13.8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13.8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13.8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13.8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13.8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13.8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13.8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13.8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13.8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13.8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13.8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13.8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13.8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13.8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13.8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13.8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13.8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13.8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13.8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13.8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13.8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13.8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13.8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13.8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13.8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13.8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13.8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13.8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13.8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13.8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13.8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13.8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13.8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13.8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13.8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13.8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13.8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13.8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13.8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13.8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13.8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13.8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13.8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13.8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13.8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13.8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13.8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13.8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13.8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13.8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13.8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13.8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13.8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13.8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13.8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13.8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13.8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13.8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13.8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13.8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13.8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13.8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13.8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13.8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13.8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13.8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13.8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13.8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13.8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13.8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13.8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13.8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13.8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13.8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13.8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13.8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13.8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13.8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13.8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13.8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13.8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13.8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13.8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13.8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13.8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13.8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13.8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13.8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13.8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13.8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13.8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13.8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13.8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13.8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13.8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13.8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13.8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13.8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13.8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13.8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13.8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13.8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13.8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13.8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13.8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13.8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13.8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13.8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13.8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13.8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13.8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13.8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13.8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13.8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13.8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13.8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13.8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13.8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13.8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13.8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13.8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13.8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13.8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13.8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13.8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13.8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13.8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13.8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13.8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13.8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13.8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13.8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13.8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13.8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13.8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13.8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13.8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13.8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13.8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13.8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13.8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13.8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13.8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13.8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13.8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13.8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13.8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13.8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13.8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13.8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13.8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13.8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13.8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13.8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13.8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13.8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13.8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13.8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13.8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13.8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13.8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13.8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13.8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13.8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13.8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13.8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13.8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13.8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13.8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13.8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13.8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13.8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13.8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13.8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13.8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13.8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13.8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13.8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13.8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13.8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13.8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13.8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13.8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13.8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13.8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13.8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13.8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13.8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13.8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13.8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13.8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13.8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13.8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13.8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13.8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13.8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13.8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13.8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13.8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13.8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13.8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13.8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13.8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13.8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13.8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13.8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13.8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13.8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13.8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13.8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13.8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:21" ht="13.8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:21" ht="13.8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:21" ht="13.8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:21" ht="13.8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spans="1:21" ht="13.8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spans="1:21" ht="13.8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spans="1:21" ht="13.8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spans="1:21" ht="13.8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:21" ht="13.8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:21" ht="13.8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:21" ht="13.8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spans="1:21" ht="13.8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spans="1:21" ht="13.8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spans="1:21" ht="13.8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spans="1:21" ht="13.8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spans="1:21" ht="13.8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spans="1:21" ht="13.8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spans="1:21" ht="13.8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spans="1:21" ht="13.8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spans="1:21" ht="13.8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spans="1:21" ht="13.8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spans="1:21" ht="13.8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spans="1:21" ht="13.8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spans="1:21" ht="13.8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spans="1:21" ht="13.8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spans="1:21" ht="13.8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spans="1:21" ht="13.8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spans="1:21" ht="13.8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spans="1:21" ht="13.8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spans="1:21" ht="13.8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spans="1:21" ht="13.8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spans="1:21" ht="13.8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spans="1:21" ht="13.8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spans="1:21" ht="13.8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spans="1:21" ht="13.8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spans="1:21" ht="13.8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spans="1:21" ht="13.8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spans="1:21" ht="13.8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spans="1:21" ht="13.8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spans="1:21" ht="13.8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spans="1:21" ht="13.8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spans="1:21" ht="13.8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spans="1:21" ht="13.8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spans="1:21" ht="13.8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spans="1:21" ht="13.8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spans="1:21" ht="13.8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:21" ht="13.8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:21" ht="13.8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spans="1:21" ht="13.8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spans="1:21" ht="13.8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:21" ht="13.8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spans="1:21" ht="13.8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spans="1:21" ht="13.8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spans="1:21" ht="13.8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:21" ht="13.8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:21" ht="13.8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:21" ht="13.8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:21" ht="13.8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:21" ht="13.8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:21" ht="13.8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:21" ht="13.8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:21" ht="13.8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spans="1:21" ht="13.8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spans="1:21" ht="13.8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spans="1:21" ht="13.8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spans="1:21" ht="13.8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:21" ht="13.8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spans="1:21" ht="13.8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spans="1:21" ht="13.8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spans="1:21" ht="13.8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spans="1:21" ht="13.8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spans="1:21" ht="13.8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spans="1:21" ht="13.8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spans="1:21" ht="13.8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spans="1:21" ht="13.8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spans="1:21" ht="13.8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:21" ht="13.8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:21" ht="13.8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:21" ht="13.8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:21" ht="13.8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:21" ht="13.8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:21" ht="13.8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spans="1:21" ht="13.8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spans="1:21" ht="13.8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:21" ht="13.8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:21" ht="13.8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:21" ht="13.8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:21" ht="13.8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:21" ht="13.8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:21" ht="13.8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:21" ht="13.8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:21" ht="13.8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:21" ht="13.8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:21" ht="13.8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:21" ht="13.8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:21" ht="13.8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spans="1:21" ht="13.8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spans="1:21" ht="13.8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spans="1:21" ht="13.8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spans="1:21" ht="13.8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spans="1:21" ht="13.8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spans="1:21" ht="13.8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spans="1:21" ht="13.8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spans="1:21" ht="13.8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spans="1:21" ht="13.8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spans="1:21" ht="13.8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:21" ht="13.8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:21" ht="13.8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:21" ht="13.8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spans="1:21" ht="13.8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spans="1:21" ht="13.8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spans="1:21" ht="13.8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spans="1:21" ht="13.8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spans="1:21" ht="13.8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spans="1:21" ht="13.8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:21" ht="13.8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:21" ht="13.8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spans="1:21" ht="13.8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spans="1:21" ht="13.8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spans="1:21" ht="13.8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spans="1:21" ht="13.8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spans="1:21" ht="13.8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spans="1:21" ht="13.8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spans="1:21" ht="13.8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spans="1:21" ht="13.8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:21" ht="13.8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spans="1:21" ht="13.8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spans="1:21" ht="13.8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spans="1:21" ht="13.8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spans="1:21" ht="13.8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spans="1:21" ht="13.8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spans="1:21" ht="13.8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spans="1:21" ht="13.8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spans="1:21" ht="13.8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spans="1:21" ht="13.8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spans="1:21" ht="13.8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spans="1:21" ht="13.8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spans="1:21" ht="13.8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spans="1:21" ht="13.8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spans="1:21" ht="13.8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spans="1:21" ht="13.8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spans="1:21" ht="13.8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spans="1:21" ht="13.8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spans="1:21" ht="13.8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spans="1:21" ht="13.8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spans="1:21" ht="13.8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spans="1:21" ht="13.8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spans="1:21" ht="13.8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spans="1:21" ht="13.8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spans="1:21" ht="13.8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spans="1:21" ht="13.8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spans="1:21" ht="13.8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spans="1:21" ht="13.8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:21" ht="13.8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:21" ht="13.8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:21" ht="13.8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spans="1:21" ht="13.8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spans="1:21" ht="13.8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spans="1:21" ht="13.8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spans="1:21" ht="13.8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spans="1:21" ht="13.8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spans="1:21" ht="13.8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spans="1:21" ht="13.8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spans="1:21" ht="13.8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spans="1:21" ht="13.8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spans="1:21" ht="13.8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spans="1:21" ht="13.8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spans="1:21" ht="13.8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spans="1:21" ht="13.8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spans="1:21" ht="13.8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spans="1:21" ht="13.8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spans="1:21" ht="13.8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spans="1:21" ht="13.8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spans="1:21" ht="13.8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spans="1:21" ht="13.8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spans="1:21" ht="13.8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spans="1:21" ht="13.8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spans="1:21" ht="13.8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spans="1:21" ht="13.8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spans="1:21" ht="13.8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spans="1:21" ht="13.8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spans="1:21" ht="13.8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spans="1:21" ht="13.8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spans="1:21" ht="13.8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:21" ht="13.8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spans="1:21" ht="13.8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spans="1:21" ht="13.8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:21" ht="13.8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:21" ht="13.8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:21" ht="13.8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:21" ht="13.8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spans="1:21" ht="13.8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spans="1:21" ht="13.8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spans="1:21" ht="13.8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spans="1:21" ht="13.8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spans="1:21" ht="13.8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spans="1:21" ht="13.8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spans="1:21" ht="13.8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spans="1:21" ht="13.8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spans="1:21" ht="13.8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spans="1:21" ht="13.8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spans="1:21" ht="13.8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spans="1:21" ht="13.8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spans="1:21" ht="13.8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spans="1:21" ht="13.8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spans="1:21" ht="13.8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spans="1:21" ht="13.8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spans="1:21" ht="13.8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:21" ht="13.8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:21" ht="13.8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spans="1:21" ht="13.8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spans="1:21" ht="13.8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spans="1:21" ht="13.8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spans="1:21" ht="13.8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spans="1:21" ht="13.8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spans="1:21" ht="13.8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spans="1:21" ht="13.8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spans="1:21" ht="13.8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spans="1:21" ht="13.8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spans="1:21" ht="13.8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spans="1:21" ht="13.8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spans="1:21" ht="13.8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spans="1:21" ht="13.8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spans="1:21" ht="13.8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spans="1:21" ht="13.8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spans="1:21" ht="13.8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spans="1:21" ht="13.8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spans="1:21" ht="13.8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spans="1:21" ht="13.8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spans="1:21" ht="13.8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spans="1:21" ht="13.8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:21" ht="13.8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spans="1:21" ht="13.8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spans="1:21" ht="13.8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:21" ht="13.8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:21" ht="13.8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spans="1:21" ht="13.8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spans="1:21" ht="13.8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:21" ht="13.8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spans="1:21" ht="13.8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spans="1:21" ht="13.8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spans="1:21" ht="13.8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spans="1:21" ht="13.8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spans="1:21" ht="13.8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spans="1:21" ht="13.8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spans="1:21" ht="13.8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spans="1:21" ht="13.8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spans="1:21" ht="13.8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spans="1:21" ht="13.8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spans="1:21" ht="13.8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spans="1:21" ht="13.8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spans="1:21" ht="13.8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spans="1:21" ht="13.8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spans="1:21" ht="13.8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spans="1:21" ht="13.8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spans="1:21" ht="13.8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spans="1:21" ht="13.8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spans="1:21" ht="13.8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spans="1:21" ht="13.8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spans="1:21" ht="13.8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spans="1:21" ht="13.8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spans="1:21" ht="13.8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spans="1:21" ht="13.8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spans="1:21" ht="13.8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spans="1:21" ht="13.8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spans="1:21" ht="13.8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spans="1:21" ht="13.8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spans="1:21" ht="13.8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spans="1:21" ht="13.8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spans="1:21" ht="13.8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spans="1:21" ht="13.8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spans="1:21" ht="13.8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spans="1:21" ht="13.8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spans="1:21" ht="13.8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spans="1:21" ht="13.8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spans="1:21" ht="13.8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spans="1:21" ht="13.8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spans="1:21" ht="13.8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spans="1:21" ht="13.8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spans="1:21" ht="13.8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spans="1:21" ht="13.8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spans="1:21" ht="13.8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spans="1:21" ht="13.8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spans="1:21" ht="13.8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spans="1:21" ht="13.8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spans="1:21" ht="13.8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spans="1:21" ht="13.8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spans="1:21" ht="13.8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spans="1:21" ht="13.8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spans="1:21" ht="13.8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spans="1:21" ht="13.8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spans="1:21" ht="13.8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spans="1:21" ht="13.8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spans="1:21" ht="13.8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spans="1:21" ht="13.8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 spans="1:21" ht="13.8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 spans="1:21" ht="13.8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 spans="1:21" ht="13.8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 spans="1:21" ht="13.8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</row>
    <row r="1011" spans="1:21" ht="13.8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 spans="1:21" ht="13.8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</row>
    <row r="1013" spans="1:21" ht="13.8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 spans="1:21" ht="13.8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</row>
    <row r="1015" spans="1:21" ht="13.8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</row>
    <row r="1016" spans="1:21" ht="13.8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</row>
    <row r="1017" spans="1:21" ht="13.8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</row>
    <row r="1018" spans="1:21" ht="13.8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 spans="1:21" ht="13.8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 spans="1:21" ht="13.8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 spans="1:21" ht="13.8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 spans="1:21" ht="13.8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 spans="1:21" ht="13.8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4" spans="1:21" ht="13.8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</row>
    <row r="1025" spans="1:21" ht="13.8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</row>
    <row r="1026" spans="1:21" ht="13.8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</row>
    <row r="1027" spans="1:21" ht="13.8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</row>
    <row r="1028" spans="1:21" ht="13.8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</row>
    <row r="1029" spans="1:21" ht="13.8" x14ac:dyDescent="0.25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</row>
    <row r="1030" spans="1:21" ht="13.8" x14ac:dyDescent="0.25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</row>
    <row r="1031" spans="1:21" ht="13.8" x14ac:dyDescent="0.25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</row>
    <row r="1032" spans="1:21" ht="13.8" x14ac:dyDescent="0.25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3" spans="1:21" ht="13.8" x14ac:dyDescent="0.25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</row>
    <row r="1034" spans="1:21" ht="13.8" x14ac:dyDescent="0.25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</row>
    <row r="1035" spans="1:21" ht="13.8" x14ac:dyDescent="0.2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</row>
    <row r="1036" spans="1:21" ht="13.8" x14ac:dyDescent="0.2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</row>
  </sheetData>
  <mergeCells count="18">
    <mergeCell ref="A63:D63"/>
    <mergeCell ref="G63:L63"/>
    <mergeCell ref="C65:D65"/>
    <mergeCell ref="C66:D66"/>
    <mergeCell ref="C67:D67"/>
    <mergeCell ref="B10:G10"/>
    <mergeCell ref="B11:G11"/>
    <mergeCell ref="A13:L13"/>
    <mergeCell ref="E14:F14"/>
    <mergeCell ref="C16:H16"/>
    <mergeCell ref="B1:D1"/>
    <mergeCell ref="B2:D2"/>
    <mergeCell ref="A3:A7"/>
    <mergeCell ref="B3:D3"/>
    <mergeCell ref="B4:D4"/>
    <mergeCell ref="B5:D5"/>
    <mergeCell ref="B6:D6"/>
    <mergeCell ref="B7:D7"/>
  </mergeCells>
  <hyperlinks>
    <hyperlink ref="L18" r:id="rId1" xr:uid="{00000000-0004-0000-0000-000000000000}"/>
    <hyperlink ref="L19" r:id="rId2" xr:uid="{00000000-0004-0000-0000-000001000000}"/>
    <hyperlink ref="L21" r:id="rId3" xr:uid="{00000000-0004-0000-0000-000002000000}"/>
    <hyperlink ref="L22" r:id="rId4" xr:uid="{00000000-0004-0000-0000-000003000000}"/>
    <hyperlink ref="L25" r:id="rId5" xr:uid="{00000000-0004-0000-0000-000004000000}"/>
    <hyperlink ref="L26" r:id="rId6" xr:uid="{00000000-0004-0000-0000-000005000000}"/>
    <hyperlink ref="L27" r:id="rId7" xr:uid="{00000000-0004-0000-0000-000006000000}"/>
    <hyperlink ref="L29" r:id="rId8" xr:uid="{00000000-0004-0000-0000-000007000000}"/>
    <hyperlink ref="L30" r:id="rId9" xr:uid="{00000000-0004-0000-0000-000008000000}"/>
    <hyperlink ref="L31" r:id="rId10" xr:uid="{00000000-0004-0000-0000-000009000000}"/>
    <hyperlink ref="L32" r:id="rId11" xr:uid="{00000000-0004-0000-0000-00000A000000}"/>
    <hyperlink ref="L33" r:id="rId12" xr:uid="{00000000-0004-0000-0000-00000B000000}"/>
    <hyperlink ref="L34" r:id="rId13" xr:uid="{00000000-0004-0000-0000-00000C000000}"/>
    <hyperlink ref="L35" r:id="rId14" xr:uid="{00000000-0004-0000-0000-00000D000000}"/>
    <hyperlink ref="L36" r:id="rId15" xr:uid="{00000000-0004-0000-0000-00000E000000}"/>
    <hyperlink ref="L37" r:id="rId16" xr:uid="{00000000-0004-0000-0000-00000F000000}"/>
    <hyperlink ref="L38" r:id="rId17" xr:uid="{00000000-0004-0000-0000-000010000000}"/>
    <hyperlink ref="L39" r:id="rId18" xr:uid="{00000000-0004-0000-0000-000011000000}"/>
    <hyperlink ref="L40" r:id="rId19" xr:uid="{00000000-0004-0000-0000-000012000000}"/>
    <hyperlink ref="L41" r:id="rId20" xr:uid="{00000000-0004-0000-0000-000013000000}"/>
    <hyperlink ref="L42" r:id="rId21" xr:uid="{00000000-0004-0000-0000-000014000000}"/>
    <hyperlink ref="L49" r:id="rId22" xr:uid="{00000000-0004-0000-0000-000015000000}"/>
    <hyperlink ref="L50" r:id="rId23" xr:uid="{00000000-0004-0000-0000-000016000000}"/>
    <hyperlink ref="L52" r:id="rId24" xr:uid="{00000000-0004-0000-0000-000017000000}"/>
    <hyperlink ref="L54" r:id="rId25" xr:uid="{00000000-0004-0000-0000-000018000000}"/>
    <hyperlink ref="L55" r:id="rId26" xr:uid="{00000000-0004-0000-0000-000019000000}"/>
    <hyperlink ref="L57" r:id="rId27" xr:uid="{00000000-0004-0000-0000-00001A000000}"/>
    <hyperlink ref="L56" r:id="rId28" xr:uid="{02C1288E-CD3B-4F18-95C0-F535835A1FC9}"/>
  </hyperlink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LEK ER XUN</cp:lastModifiedBy>
  <dcterms:modified xsi:type="dcterms:W3CDTF">2026-04-02T04:08:31Z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2026-03-31T13:14:14Z</dcterms:modified>
  <cp:revision>1</cp:revision>
  <dc:subject/>
  <dc:title/>
</cp:coreProperties>
</file>